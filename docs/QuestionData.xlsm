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_Data\PrivateCode\TreasureHunt\docs\"/>
    </mc:Choice>
  </mc:AlternateContent>
  <bookViews>
    <workbookView xWindow="1395" yWindow="990" windowWidth="17595" windowHeight="16440" tabRatio="883" activeTab="2"/>
  </bookViews>
  <sheets>
    <sheet name="Notes" sheetId="9" r:id="rId1"/>
    <sheet name="90-Settings" sheetId="90" r:id="rId2"/>
    <sheet name="99-TMoreOrLessQuestions" sheetId="89" r:id="rId3"/>
    <sheet name="101-FzTyp" sheetId="1" r:id="rId4"/>
    <sheet name="102-Fz" sheetId="3" r:id="rId5"/>
    <sheet name="103-JFzFzTyp" sheetId="2" r:id="rId6"/>
    <sheet name="105-TKennzeichen" sheetId="31" r:id="rId7"/>
    <sheet name="106-JFzKennzeichen" sheetId="32" r:id="rId8"/>
    <sheet name="112-TPlzOrt" sheetId="46" r:id="rId9"/>
    <sheet name="113-TAdresse" sheetId="45" r:id="rId10"/>
    <sheet name="114-TKunde" sheetId="4" r:id="rId11"/>
    <sheet name="115-TKontaktInfo" sheetId="5" r:id="rId12"/>
    <sheet name="116-JKundeKontaktInfo" sheetId="6" r:id="rId13"/>
    <sheet name="117-TBetreiberfirma" sheetId="7" r:id="rId14"/>
    <sheet name="118-JKundeFirma" sheetId="8" r:id="rId15"/>
    <sheet name="120-TAutonomieInsel" sheetId="48" r:id="rId16"/>
    <sheet name="121-TBaustelle" sheetId="13" r:id="rId17"/>
    <sheet name="123-TWerk" sheetId="47" r:id="rId18"/>
    <sheet name="124-TAnlage" sheetId="11" r:id="rId19"/>
    <sheet name="126-JAnlageBetreiberfirma" sheetId="12" r:id="rId20"/>
    <sheet name="127-JAnlageAnlageTeil" sheetId="42" r:id="rId21"/>
    <sheet name="128-JAutonomieInselBetrieberfir" sheetId="88" r:id="rId22"/>
    <sheet name="131-JKundeBaustelle" sheetId="14" r:id="rId23"/>
    <sheet name="132-JKundeBaustelleKontaktinfo" sheetId="15" r:id="rId24"/>
    <sheet name="140-TArtikel" sheetId="24" r:id="rId25"/>
    <sheet name="141-JArtikelTree" sheetId="25" r:id="rId26"/>
    <sheet name="142-TMaterialtypTransport" sheetId="75" r:id="rId27"/>
    <sheet name="143-TProdukt" sheetId="16" r:id="rId28"/>
    <sheet name="145-TBarpreis" sheetId="17" r:id="rId29"/>
    <sheet name="150-TWaage" sheetId="18" r:id="rId30"/>
    <sheet name="151-JAnlageWaage" sheetId="19" r:id="rId31"/>
    <sheet name="160-TNummerkreis" sheetId="20" r:id="rId32"/>
    <sheet name="170-TSpeicher" sheetId="21" r:id="rId33"/>
    <sheet name="171-TZugabegruppe" sheetId="22" r:id="rId34"/>
    <sheet name="173-JZugabegruppeSpeicher" sheetId="23" r:id="rId35"/>
    <sheet name="174-SiloBalanceProjParam" sheetId="26" r:id="rId36"/>
    <sheet name="190-TPlanungsstelle" sheetId="50" r:id="rId37"/>
    <sheet name="191-JFahrzeugPlanungsstelle" sheetId="55" r:id="rId38"/>
    <sheet name="300-TKomponente" sheetId="34" r:id="rId39"/>
    <sheet name="301-JKomponenteKomponententyp" sheetId="35" r:id="rId40"/>
    <sheet name="350-TRezept" sheetId="36" r:id="rId41"/>
    <sheet name="351-TTeilrezept" sheetId="37" r:id="rId42"/>
    <sheet name="352-JRezeptTeilrezept" sheetId="38" r:id="rId43"/>
    <sheet name="353-TRezeptKategorie" sheetId="70" r:id="rId44"/>
    <sheet name="354-TTeilRezeptRezeptKategorie" sheetId="71" r:id="rId45"/>
    <sheet name="355-JAnlageTeilrezept" sheetId="39" r:id="rId46"/>
    <sheet name="356-TTeilrezeptPhase" sheetId="49" r:id="rId47"/>
    <sheet name="357-TAsphaltTeilrezept" sheetId="40" r:id="rId48"/>
    <sheet name="358-JAsphaltTeilrezeptKomponent" sheetId="41" r:id="rId49"/>
    <sheet name="360-TAuftrag" sheetId="27" r:id="rId50"/>
    <sheet name="361-JAuftragArtikel" sheetId="28" r:id="rId51"/>
    <sheet name="362-JBestellDaten" sheetId="29" r:id="rId52"/>
    <sheet name="365-JTransportIntervall" sheetId="30" r:id="rId53"/>
    <sheet name="367-TAsphaltTeilrezeptKopie" sheetId="64" r:id="rId54"/>
    <sheet name="390-TDimAnlageAnlageTeil" sheetId="68" r:id="rId55"/>
    <sheet name="391-TDimRezept" sheetId="69" r:id="rId56"/>
    <sheet name="392-TDimDate" sheetId="72" r:id="rId57"/>
    <sheet name="393-TDimTime" sheetId="73" r:id="rId58"/>
    <sheet name="394-TFactProductionDetail" sheetId="74" r:id="rId59"/>
    <sheet name="400-Obp-Params" sheetId="51" r:id="rId60"/>
    <sheet name="401-TBehaelterTyp" sheetId="53" r:id="rId61"/>
    <sheet name="402-JTransportkapazitaet" sheetId="52" r:id="rId62"/>
    <sheet name="403-JBehaeltertypFztyp" sheetId="54" r:id="rId63"/>
    <sheet name="500-TEventCounter" sheetId="33" r:id="rId64"/>
    <sheet name="600-TRuestlos" sheetId="43" r:id="rId65"/>
    <sheet name="601-JBeteiligteFz" sheetId="44" r:id="rId66"/>
    <sheet name="602-JLieferschein" sheetId="56" r:id="rId67"/>
    <sheet name="630-TWartungsTeil" sheetId="57" r:id="rId68"/>
    <sheet name="631-JWartungsTeilTree" sheetId="58" r:id="rId69"/>
    <sheet name="632-TZeitplanRegel" sheetId="60" r:id="rId70"/>
    <sheet name="633-TWartungsTask" sheetId="59" r:id="rId71"/>
    <sheet name="634-NotifyMss" sheetId="80" r:id="rId72"/>
    <sheet name="635-TWartungsHandlung" sheetId="81" r:id="rId73"/>
    <sheet name="640-TlEventObserver" sheetId="61" r:id="rId74"/>
    <sheet name="641-TlEventObserverSync" sheetId="62" r:id="rId75"/>
    <sheet name="642-JWartungsEventListe" sheetId="63" r:id="rId76"/>
    <sheet name="645-TWartungsArtikel" sheetId="66" r:id="rId77"/>
    <sheet name="646-TWartungstaskWartungsArtike" sheetId="67" r:id="rId78"/>
    <sheet name="647-TDataLog" sheetId="77" r:id="rId79"/>
    <sheet name="648-ClearTDataSample" sheetId="79" r:id="rId80"/>
    <sheet name="649-TDataSample" sheetId="78" r:id="rId81"/>
    <sheet name="650-TWartungsTaskDemo" sheetId="86" r:id="rId82"/>
    <sheet name="651-TWartungstaskWartungsDemo" sheetId="87" r:id="rId83"/>
    <sheet name="700-TConcreteConsistencyNorm" sheetId="82" r:id="rId84"/>
    <sheet name="701-TConcreteConsistencyCalib" sheetId="83" r:id="rId85"/>
    <sheet name="702-TConcreteConsistencyClass" sheetId="84" r:id="rId86"/>
    <sheet name="703-TConcreteConsistencyCalPt" sheetId="85" r:id="rId87"/>
    <sheet name="LocTextForSPA" sheetId="65" r:id="rId88"/>
  </sheets>
  <functionGroups builtInGroupCount="18"/>
  <calcPr calcId="152511"/>
</workbook>
</file>

<file path=xl/calcChain.xml><?xml version="1.0" encoding="utf-8"?>
<calcChain xmlns="http://schemas.openxmlformats.org/spreadsheetml/2006/main">
  <c r="N33" i="86" l="1"/>
  <c r="N32" i="86"/>
  <c r="N31" i="86"/>
  <c r="N30" i="86"/>
  <c r="N29" i="86"/>
  <c r="N28" i="86"/>
  <c r="N27" i="86"/>
  <c r="N26" i="86"/>
  <c r="N25" i="86"/>
  <c r="M33" i="86"/>
  <c r="M32" i="86"/>
  <c r="M31" i="86"/>
  <c r="M30" i="86"/>
  <c r="M29" i="86"/>
  <c r="M28" i="86"/>
  <c r="M27" i="86"/>
  <c r="M26" i="86"/>
  <c r="M25" i="86"/>
  <c r="N24" i="86"/>
  <c r="N23" i="86"/>
  <c r="N22" i="86"/>
  <c r="N21" i="86"/>
  <c r="N20" i="86"/>
  <c r="N19" i="86"/>
  <c r="N18" i="86"/>
  <c r="N17" i="86"/>
  <c r="N16" i="86"/>
  <c r="M24" i="86"/>
  <c r="M23" i="86"/>
  <c r="M22" i="86"/>
  <c r="M21" i="86"/>
  <c r="M20" i="86"/>
  <c r="M19" i="86"/>
  <c r="M18" i="86"/>
  <c r="M17" i="86"/>
  <c r="M16" i="86"/>
  <c r="N15" i="86"/>
  <c r="N14" i="86"/>
  <c r="N13" i="86"/>
  <c r="N12" i="86"/>
  <c r="N11" i="86"/>
  <c r="N10" i="86"/>
  <c r="N9" i="86"/>
  <c r="N8" i="86"/>
  <c r="N7" i="86"/>
  <c r="M15" i="86"/>
  <c r="M14" i="86"/>
  <c r="M13" i="86"/>
  <c r="M12" i="86"/>
  <c r="M11" i="86"/>
  <c r="M10" i="86"/>
  <c r="M9" i="86"/>
  <c r="M8" i="86"/>
  <c r="M7" i="86"/>
  <c r="G33" i="86"/>
  <c r="G32" i="86"/>
  <c r="G31" i="86"/>
  <c r="G30" i="86"/>
  <c r="G29" i="86"/>
  <c r="G28" i="86"/>
  <c r="G27" i="86"/>
  <c r="G26" i="86"/>
  <c r="G25" i="86"/>
  <c r="G24" i="86"/>
  <c r="G23" i="86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G9" i="86"/>
  <c r="G8" i="86"/>
  <c r="G7" i="86"/>
  <c r="N4" i="86"/>
  <c r="M4" i="86"/>
  <c r="N6" i="86"/>
  <c r="M6" i="86"/>
  <c r="N5" i="86"/>
  <c r="M5" i="86"/>
  <c r="B9" i="85" l="1"/>
  <c r="B8" i="85"/>
  <c r="B5" i="85"/>
  <c r="B7" i="85"/>
  <c r="B10" i="85"/>
  <c r="B6" i="85"/>
  <c r="B4" i="85" l="1"/>
  <c r="B9" i="78" l="1"/>
  <c r="B13" i="78"/>
  <c r="B12" i="78"/>
  <c r="B11" i="78"/>
  <c r="B10" i="78"/>
  <c r="J6" i="59" l="1"/>
  <c r="I6" i="59"/>
  <c r="J5" i="59"/>
  <c r="I5" i="59"/>
  <c r="F10" i="61"/>
  <c r="J7" i="59" l="1"/>
  <c r="J8" i="59"/>
  <c r="J9" i="59"/>
  <c r="J10" i="59"/>
  <c r="J11" i="59"/>
  <c r="J12" i="59"/>
  <c r="J13" i="59"/>
  <c r="J14" i="59"/>
  <c r="J15" i="59"/>
  <c r="J16" i="59"/>
  <c r="J17" i="59"/>
  <c r="J18" i="59"/>
  <c r="J19" i="59"/>
  <c r="J20" i="59"/>
  <c r="J21" i="59"/>
  <c r="J22" i="59"/>
  <c r="J23" i="59"/>
  <c r="J24" i="59"/>
  <c r="J25" i="59"/>
  <c r="J26" i="59"/>
  <c r="J27" i="59"/>
  <c r="J28" i="59"/>
  <c r="J29" i="59"/>
  <c r="J30" i="59"/>
  <c r="J31" i="59"/>
  <c r="J32" i="59"/>
  <c r="J33" i="59"/>
  <c r="J34" i="59"/>
  <c r="J35" i="59"/>
  <c r="J36" i="59"/>
  <c r="J37" i="59"/>
  <c r="J38" i="59"/>
  <c r="J39" i="59"/>
  <c r="J40" i="59"/>
  <c r="J41" i="59"/>
  <c r="J42" i="59"/>
  <c r="J43" i="59"/>
  <c r="J44" i="59"/>
  <c r="J45" i="59"/>
  <c r="J46" i="59"/>
  <c r="J47" i="59"/>
  <c r="J48" i="59"/>
  <c r="J49" i="59"/>
  <c r="J50" i="59"/>
  <c r="J51" i="59"/>
  <c r="J52" i="59"/>
  <c r="J53" i="59"/>
  <c r="J54" i="59"/>
  <c r="J55" i="59"/>
  <c r="J56" i="59"/>
  <c r="J57" i="59"/>
  <c r="J58" i="59"/>
  <c r="J59" i="59"/>
  <c r="J60" i="59"/>
  <c r="J61" i="59"/>
  <c r="J62" i="59"/>
  <c r="J63" i="59"/>
  <c r="J64" i="59"/>
  <c r="J65" i="59"/>
  <c r="J66" i="59"/>
  <c r="J67" i="59"/>
  <c r="J68" i="59"/>
  <c r="J69" i="59"/>
  <c r="J70" i="59"/>
  <c r="J71" i="59"/>
  <c r="J72" i="59"/>
  <c r="J73" i="59"/>
  <c r="J74" i="59"/>
  <c r="J75" i="59"/>
  <c r="J76" i="59"/>
  <c r="J77" i="59"/>
  <c r="J78" i="59"/>
  <c r="J79" i="59"/>
  <c r="J80" i="59"/>
  <c r="J81" i="59"/>
  <c r="J82" i="59"/>
  <c r="J4" i="59"/>
  <c r="I9" i="59"/>
  <c r="I10" i="59"/>
  <c r="I11" i="59"/>
  <c r="I12" i="59"/>
  <c r="I13" i="59"/>
  <c r="I14" i="59"/>
  <c r="I15" i="59"/>
  <c r="I16" i="59"/>
  <c r="I17" i="59"/>
  <c r="I18" i="59"/>
  <c r="I19" i="59"/>
  <c r="I20" i="59"/>
  <c r="I21" i="59"/>
  <c r="I22" i="59"/>
  <c r="I23" i="59"/>
  <c r="I24" i="59"/>
  <c r="I25" i="59"/>
  <c r="I26" i="59"/>
  <c r="I27" i="59"/>
  <c r="I28" i="59"/>
  <c r="I29" i="59"/>
  <c r="I30" i="59"/>
  <c r="I31" i="59"/>
  <c r="I32" i="59"/>
  <c r="I33" i="59"/>
  <c r="I34" i="59"/>
  <c r="I35" i="59"/>
  <c r="I36" i="59"/>
  <c r="I37" i="59"/>
  <c r="I38" i="59"/>
  <c r="I39" i="59"/>
  <c r="I40" i="59"/>
  <c r="I41" i="59"/>
  <c r="I42" i="59"/>
  <c r="I43" i="59"/>
  <c r="I44" i="59"/>
  <c r="I45" i="59"/>
  <c r="I46" i="59"/>
  <c r="I47" i="59"/>
  <c r="I48" i="59"/>
  <c r="I49" i="59"/>
  <c r="I50" i="59"/>
  <c r="I51" i="59"/>
  <c r="I52" i="59"/>
  <c r="I53" i="59"/>
  <c r="I54" i="59"/>
  <c r="I55" i="59"/>
  <c r="I56" i="59"/>
  <c r="I57" i="59"/>
  <c r="I58" i="59"/>
  <c r="I59" i="59"/>
  <c r="I60" i="59"/>
  <c r="I61" i="59"/>
  <c r="I62" i="59"/>
  <c r="I63" i="59"/>
  <c r="I64" i="59"/>
  <c r="I65" i="59"/>
  <c r="I66" i="59"/>
  <c r="I67" i="59"/>
  <c r="I68" i="59"/>
  <c r="I69" i="59"/>
  <c r="I70" i="59"/>
  <c r="I71" i="59"/>
  <c r="I72" i="59"/>
  <c r="I73" i="59"/>
  <c r="I74" i="59"/>
  <c r="I75" i="59"/>
  <c r="I76" i="59"/>
  <c r="I77" i="59"/>
  <c r="I78" i="59"/>
  <c r="I79" i="59"/>
  <c r="I80" i="59"/>
  <c r="I81" i="59"/>
  <c r="I82" i="59"/>
  <c r="I7" i="59"/>
  <c r="I8" i="59"/>
  <c r="I4" i="59"/>
  <c r="I4" i="27"/>
  <c r="F9" i="61" l="1"/>
  <c r="B8" i="78"/>
  <c r="B7" i="78"/>
  <c r="B6" i="78"/>
  <c r="B5" i="78"/>
  <c r="B4" i="78"/>
  <c r="B4" i="72" l="1"/>
  <c r="J13" i="27" l="1"/>
  <c r="I13" i="27"/>
  <c r="K12" i="27" l="1"/>
  <c r="J12" i="27"/>
  <c r="I12" i="27"/>
  <c r="J10" i="27" l="1"/>
  <c r="J11" i="27"/>
  <c r="I10" i="27"/>
  <c r="I11" i="27"/>
  <c r="J9" i="27" l="1"/>
  <c r="I9" i="27"/>
  <c r="F8" i="61" l="1"/>
  <c r="F7" i="61"/>
  <c r="F6" i="61"/>
  <c r="F5" i="61"/>
  <c r="F4" i="61"/>
  <c r="F4" i="43"/>
  <c r="F14" i="43" l="1"/>
  <c r="F13" i="43"/>
  <c r="F12" i="43"/>
  <c r="J8" i="27"/>
  <c r="I8" i="27"/>
  <c r="J7" i="27"/>
  <c r="I7" i="27"/>
  <c r="J6" i="27"/>
  <c r="I6" i="27"/>
  <c r="E5" i="55" l="1"/>
  <c r="E6" i="55"/>
  <c r="E7" i="55"/>
  <c r="E8" i="55"/>
  <c r="E9" i="55"/>
  <c r="E10" i="55"/>
  <c r="E4" i="55"/>
  <c r="D5" i="55"/>
  <c r="D6" i="55"/>
  <c r="D7" i="55"/>
  <c r="D8" i="55"/>
  <c r="D9" i="55"/>
  <c r="D10" i="55"/>
  <c r="D4" i="55"/>
  <c r="J5" i="27"/>
  <c r="J4" i="27"/>
  <c r="I5" i="27"/>
  <c r="F5" i="43"/>
  <c r="F6" i="43"/>
  <c r="F7" i="43"/>
  <c r="F8" i="43"/>
  <c r="F9" i="43"/>
  <c r="F10" i="43"/>
  <c r="F11" i="43"/>
</calcChain>
</file>

<file path=xl/comments1.xml><?xml version="1.0" encoding="utf-8"?>
<comments xmlns="http://schemas.openxmlformats.org/spreadsheetml/2006/main">
  <authors>
    <author>Martin Knott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Bern, canton</t>
        </r>
      </text>
    </comment>
  </commentList>
</comments>
</file>

<file path=xl/comments2.xml><?xml version="1.0" encoding="utf-8"?>
<comments xmlns="http://schemas.openxmlformats.org/spreadsheetml/2006/main">
  <authors>
    <author>pzeknm</author>
  </authors>
  <commentList>
    <comment ref="D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Chargenbetreib
</t>
        </r>
      </text>
    </comment>
    <comment ref="E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Asphalt plant</t>
        </r>
      </text>
    </comment>
    <comment ref="F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ASW Eng. Automation
</t>
        </r>
      </text>
    </comment>
    <comment ref="D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Kontinuerlichbetreib
</t>
        </r>
      </text>
    </comment>
    <comment ref="E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Asphalt plant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ASW Eng. Automation
</t>
        </r>
      </text>
    </comment>
    <comment ref="D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Chargenbetreib
</t>
        </r>
      </text>
    </comment>
    <comment ref="E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Concrete plant</t>
        </r>
      </text>
    </comment>
    <comment ref="F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ASW Eng. Automation
</t>
        </r>
      </text>
    </comment>
  </commentList>
</comments>
</file>

<file path=xl/comments3.xml><?xml version="1.0" encoding="utf-8"?>
<comments xmlns="http://schemas.openxmlformats.org/spreadsheetml/2006/main">
  <authors>
    <author>pzeknm</author>
  </authors>
  <commentList>
    <comment ref="B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ID of AG-Asp </t>
        </r>
      </text>
    </comment>
  </commentList>
</comments>
</file>

<file path=xl/comments4.xml><?xml version="1.0" encoding="utf-8"?>
<comments xmlns="http://schemas.openxmlformats.org/spreadsheetml/2006/main">
  <authors>
    <author>pzeknm</author>
  </authors>
  <commentList>
    <comment ref="E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BeNormal
</t>
        </r>
      </text>
    </comment>
  </commentList>
</comments>
</file>

<file path=xl/comments5.xml><?xml version="1.0" encoding="utf-8"?>
<comments xmlns="http://schemas.openxmlformats.org/spreadsheetml/2006/main">
  <authors>
    <author>pzeknm</author>
  </authors>
  <commentList>
    <comment ref="L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t(onne)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L1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%</t>
        </r>
      </text>
    </comment>
  </commentList>
</comments>
</file>

<file path=xl/comments6.xml><?xml version="1.0" encoding="utf-8"?>
<comments xmlns="http://schemas.openxmlformats.org/spreadsheetml/2006/main">
  <authors>
    <author>pzeknm</author>
  </authors>
  <commentList>
    <comment ref="E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VerladeGate</t>
        </r>
      </text>
    </comment>
  </commentList>
</comments>
</file>

<file path=xl/comments7.xml><?xml version="1.0" encoding="utf-8"?>
<comments xmlns="http://schemas.openxmlformats.org/spreadsheetml/2006/main">
  <authors>
    <author>pzeknm</author>
    <author>Martin Knott</author>
  </authors>
  <commentList>
    <comment ref="G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G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G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G1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B11" authorId="1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discontinued Komponent, no longer addable but will be removable from existing recipes</t>
        </r>
      </text>
    </comment>
    <comment ref="G1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G1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AG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AG</t>
        </r>
      </text>
    </comment>
    <comment ref="G1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1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1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1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1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1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2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2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2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G23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FL</t>
        </r>
      </text>
    </comment>
    <comment ref="G2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FL</t>
        </r>
      </text>
    </comment>
  </commentList>
</comments>
</file>

<file path=xl/comments8.xml><?xml version="1.0" encoding="utf-8"?>
<comments xmlns="http://schemas.openxmlformats.org/spreadsheetml/2006/main">
  <authors>
    <author>pzeknm</author>
    <author>Martin Knott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C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AZL</t>
        </r>
      </text>
    </comment>
    <comment ref="D11" authorId="1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This will mean that the Komp is not selectable, but is still removable form existing recipes.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AG</t>
        </r>
      </text>
    </comment>
    <comment ref="C13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AG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C1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C1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C2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C2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  <comment ref="C2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BI</t>
        </r>
      </text>
    </comment>
  </commentList>
</comments>
</file>

<file path=xl/comments9.xml><?xml version="1.0" encoding="utf-8"?>
<comments xmlns="http://schemas.openxmlformats.org/spreadsheetml/2006/main">
  <authors>
    <author>Martin Knott</author>
  </authors>
  <commentList>
    <comment ref="E35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AKT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FRG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PRV</t>
        </r>
      </text>
    </comment>
  </commentList>
</comments>
</file>

<file path=xl/comments10.xml><?xml version="1.0" encoding="utf-8"?>
<comments xmlns="http://schemas.openxmlformats.org/spreadsheetml/2006/main">
  <authors>
    <author>pzeknm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"xx-RezNum-KomponentNum-0-0"</t>
        </r>
      </text>
    </comment>
    <comment ref="E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1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1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1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13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E1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A1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"xx-RezNum-KomponentNum-0-0"</t>
        </r>
      </text>
    </comment>
    <comment ref="E1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A1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"xx-RezNum-KomponentNum-0-0"</t>
        </r>
      </text>
    </comment>
    <comment ref="E1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A1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"xx-RezNum-KomponentNum-0-0"</t>
        </r>
      </text>
    </comment>
    <comment ref="E1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  <comment ref="A1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"xx-RezNum-KomponentNum-0-0"</t>
        </r>
      </text>
    </comment>
    <comment ref="E1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kg</t>
        </r>
      </text>
    </comment>
  </commentList>
</comments>
</file>

<file path=xl/comments11.xml><?xml version="1.0" encoding="utf-8"?>
<comments xmlns="http://schemas.openxmlformats.org/spreadsheetml/2006/main">
  <authors>
    <author>pzeknm</author>
  </authors>
  <commentList>
    <comment ref="D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1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1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1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  <comment ref="D13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"NA" - NormalAuftrag</t>
        </r>
      </text>
    </comment>
  </commentList>
</comments>
</file>

<file path=xl/comments12.xml><?xml version="1.0" encoding="utf-8"?>
<comments xmlns="http://schemas.openxmlformats.org/spreadsheetml/2006/main">
  <authors>
    <author>pzeknm</author>
  </authors>
  <commentList>
    <comment ref="H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1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1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1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13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Auf erste Fuhre</t>
        </r>
      </text>
    </comment>
  </commentList>
</comments>
</file>

<file path=xl/comments13.xml><?xml version="1.0" encoding="utf-8"?>
<comments xmlns="http://schemas.openxmlformats.org/spreadsheetml/2006/main">
  <authors>
    <author>pzeknm</author>
  </authors>
  <commentList>
    <comment ref="G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1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1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1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  <comment ref="G1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NORMAL - Code Extern 0 Lieferschein</t>
        </r>
      </text>
    </comment>
  </commentList>
</comments>
</file>

<file path=xl/comments14.xml><?xml version="1.0" encoding="utf-8"?>
<comments xmlns="http://schemas.openxmlformats.org/spreadsheetml/2006/main">
  <authors>
    <author>pzeknm</author>
  </authors>
  <commentList>
    <comment ref="E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FBS (Franko Baustelle)</t>
        </r>
      </text>
    </comment>
  </commentList>
</comments>
</file>

<file path=xl/comments15.xml><?xml version="1.0" encoding="utf-8"?>
<comments xmlns="http://schemas.openxmlformats.org/spreadsheetml/2006/main">
  <authors>
    <author>pzeknm</author>
  </authors>
  <commentList>
    <comment ref="J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Asphalt plant</t>
        </r>
      </text>
    </comment>
  </commentList>
</comments>
</file>

<file path=xl/comments16.xml><?xml version="1.0" encoding="utf-8"?>
<comments xmlns="http://schemas.openxmlformats.org/spreadsheetml/2006/main">
  <authors>
    <author>Martin Knott</author>
  </authors>
  <commentList>
    <comment ref="E3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ID of prodlos
For test data, I can get away with an empty guid!</t>
        </r>
      </text>
    </comment>
  </commentList>
</comments>
</file>

<file path=xl/comments17.xml><?xml version="1.0" encoding="utf-8"?>
<comments xmlns="http://schemas.openxmlformats.org/spreadsheetml/2006/main">
  <authors>
    <author>pzeknm</author>
    <author>Martin Knott</author>
  </authors>
  <commentList>
    <comment ref="E4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E5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E6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E8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B9" authorId="1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KTalle - Kein Transport, für alle Fahrzeuge geeignet
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B10" authorId="1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KTalle - Kein Transport, für alle Fahrzeuge geeignet
</t>
        </r>
      </text>
    </comment>
    <comment ref="E10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B11" authorId="1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KTalle - Kein Transport, für alle Fahrzeuge geeignet
</t>
        </r>
      </text>
    </comment>
    <comment ref="E11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KTalle - Kein Transport, für alle Fahrzeuge geeignet
</t>
        </r>
      </text>
    </comment>
    <comment ref="E12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  <comment ref="B13" authorId="1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KTalle - Kein Transport, für alle Fahrzeuge geeignet
</t>
        </r>
      </text>
    </comment>
    <comment ref="E13" authorId="0" shapeId="0">
      <text>
        <r>
          <rPr>
            <b/>
            <sz val="8"/>
            <color indexed="81"/>
            <rFont val="Tahoma"/>
            <family val="2"/>
          </rPr>
          <t>pzeknm:</t>
        </r>
        <r>
          <rPr>
            <sz val="8"/>
            <color indexed="81"/>
            <rFont val="Tahoma"/>
            <family val="2"/>
          </rPr>
          <t xml:space="preserve">
t</t>
        </r>
      </text>
    </comment>
  </commentList>
</comments>
</file>

<file path=xl/comments18.xml><?xml version="1.0" encoding="utf-8"?>
<comments xmlns="http://schemas.openxmlformats.org/spreadsheetml/2006/main">
  <authors>
    <author>Martin Knott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NORMAL</t>
        </r>
      </text>
    </comment>
  </commentList>
</comments>
</file>

<file path=xl/comments19.xml><?xml version="1.0" encoding="utf-8"?>
<comments xmlns="http://schemas.openxmlformats.org/spreadsheetml/2006/main">
  <authors>
    <author>Martin Knott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15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18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26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28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30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33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3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37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38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40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41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45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46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47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48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49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0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2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3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5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7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8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59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60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61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62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63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68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69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70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71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73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7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75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K82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</commentList>
</comments>
</file>

<file path=xl/comments20.xml><?xml version="1.0" encoding="utf-8"?>
<comments xmlns="http://schemas.openxmlformats.org/spreadsheetml/2006/main">
  <authors>
    <author>Martin Knott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1- Intervall adaptiv
2 - Interval fix
3 - 8 EQ, GT NE etc</t>
        </r>
      </text>
    </comment>
  </commentList>
</comments>
</file>

<file path=xl/comments21.xml><?xml version="1.0" encoding="utf-8"?>
<comments xmlns="http://schemas.openxmlformats.org/spreadsheetml/2006/main">
  <authors>
    <author>Martin Knott</author>
  </authors>
  <commentList>
    <comment ref="N4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6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hour</t>
        </r>
      </text>
    </comment>
    <comment ref="N9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10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11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12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13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hour</t>
        </r>
      </text>
    </comment>
    <comment ref="N14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hour</t>
        </r>
      </text>
    </comment>
    <comment ref="N15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16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17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18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  <comment ref="N19" authorId="0" shapeId="0">
      <text>
        <r>
          <rPr>
            <b/>
            <sz val="8"/>
            <color indexed="81"/>
            <rFont val="Tahoma"/>
            <family val="2"/>
          </rPr>
          <t>Martin Knott:</t>
        </r>
        <r>
          <rPr>
            <sz val="8"/>
            <color indexed="81"/>
            <rFont val="Tahoma"/>
            <family val="2"/>
          </rPr>
          <t xml:space="preserve">
stk</t>
        </r>
      </text>
    </comment>
  </commentList>
</comments>
</file>

<file path=xl/comments22.xml><?xml version="1.0" encoding="utf-8"?>
<comments xmlns="http://schemas.openxmlformats.org/spreadsheetml/2006/main">
  <authors>
    <author>Martin Knott</author>
  </authors>
  <commentList>
    <comment ref="O4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Martin Knott:</t>
        </r>
        <r>
          <rPr>
            <sz val="9"/>
            <color indexed="81"/>
            <rFont val="Tahoma"/>
            <family val="2"/>
          </rPr>
          <t xml:space="preserve">
A - Adaptive
F - Fixed
E - Einmal (Once)
U - Unplanned
O - Event (Observer?)</t>
        </r>
      </text>
    </comment>
  </commentList>
</comments>
</file>

<file path=xl/comments23.xml><?xml version="1.0" encoding="utf-8"?>
<comments xmlns="http://schemas.openxmlformats.org/spreadsheetml/2006/main">
  <authors>
    <author>*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*:</t>
        </r>
        <r>
          <rPr>
            <sz val="9"/>
            <color indexed="81"/>
            <rFont val="Tahoma"/>
            <family val="2"/>
          </rPr>
          <t xml:space="preserve">
mm
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*:</t>
        </r>
        <r>
          <rPr>
            <sz val="9"/>
            <color indexed="81"/>
            <rFont val="Tahoma"/>
            <family val="2"/>
          </rPr>
          <t xml:space="preserve">
cm
</t>
        </r>
      </text>
    </comment>
  </commentList>
</comments>
</file>

<file path=xl/sharedStrings.xml><?xml version="1.0" encoding="utf-8"?>
<sst xmlns="http://schemas.openxmlformats.org/spreadsheetml/2006/main" count="4474" uniqueCount="1902">
  <si>
    <t>ID</t>
  </si>
  <si>
    <t>Kennung</t>
  </si>
  <si>
    <t>Name</t>
  </si>
  <si>
    <t>HatFahrmotor</t>
  </si>
  <si>
    <t>TFahrzeugTyp</t>
  </si>
  <si>
    <t>int</t>
  </si>
  <si>
    <t>FAD00000-0001-0000-0000-000000000000</t>
  </si>
  <si>
    <t>FAD00000-0002-0000-0000-000000000000</t>
  </si>
  <si>
    <t>TFahrzeug</t>
  </si>
  <si>
    <t>FA000000-0001-0000-0000-000000000000</t>
  </si>
  <si>
    <t>FA000000-0002-0000-0000-000000000000</t>
  </si>
  <si>
    <t>B0FA0FAD-0001-0000-0000-000000000000</t>
  </si>
  <si>
    <t>TKunde</t>
  </si>
  <si>
    <t>CA000000-0001-0000-0000-000000000000</t>
  </si>
  <si>
    <t>CA000000-0002-0000-0000-000000000000</t>
  </si>
  <si>
    <t>TKontaktInfo</t>
  </si>
  <si>
    <t>C1000000-0001-0000-0000-000000000000</t>
  </si>
  <si>
    <t>JFahrzeugFahrzeugTyp</t>
  </si>
  <si>
    <t>JKundeKontaktInfo</t>
  </si>
  <si>
    <t>LsAdresse</t>
  </si>
  <si>
    <t>TBetreiberfirma</t>
  </si>
  <si>
    <t>BF000000-0001-0000-0000-000000000000</t>
  </si>
  <si>
    <t>JKundeFirma</t>
  </si>
  <si>
    <t>B0CA0C10-0001-0000-0000-000000000000</t>
  </si>
  <si>
    <t>B0CA0BF0-0001-0000-0000-000000000000</t>
  </si>
  <si>
    <t>FAD</t>
  </si>
  <si>
    <t>FA0</t>
  </si>
  <si>
    <t xml:space="preserve">TFahrzeug </t>
  </si>
  <si>
    <t>B0FA0FAD</t>
  </si>
  <si>
    <t>CA0</t>
  </si>
  <si>
    <t>C10</t>
  </si>
  <si>
    <t>B0CA0C10</t>
  </si>
  <si>
    <t>BF0</t>
  </si>
  <si>
    <t>Betreiberfirma</t>
  </si>
  <si>
    <t>B0CA0BF0</t>
  </si>
  <si>
    <t>TAnlage</t>
  </si>
  <si>
    <t>AAA00000-0001-0000-0000-000000000000</t>
  </si>
  <si>
    <t>AAA</t>
  </si>
  <si>
    <t>B0AAABF0-0001-0000-0000-000000000000</t>
  </si>
  <si>
    <t>JAnlageBetreiberfirma</t>
  </si>
  <si>
    <t>TFreierTypVerfahrensart</t>
  </si>
  <si>
    <t>5E4474DB-D89A-467B-871E-93C22ABF15AD</t>
  </si>
  <si>
    <t>TWerk</t>
  </si>
  <si>
    <t>TAnlageTyp</t>
  </si>
  <si>
    <t>118E2167-A9F6-4F2A-9AAF-AA7EC96DF03E</t>
  </si>
  <si>
    <t>TBaustelle</t>
  </si>
  <si>
    <t>B5000000-0001-0000-0000-000000000000</t>
  </si>
  <si>
    <t>B50</t>
  </si>
  <si>
    <t>JKundeBaustelle</t>
  </si>
  <si>
    <t>B0CA0B50-0001-0000-0000-000000000000</t>
  </si>
  <si>
    <t>B0CA0B50</t>
  </si>
  <si>
    <t>JKundeBaustelleKontaktinfo</t>
  </si>
  <si>
    <t>B0CAB5C1-0001-0000-0000-000000000000</t>
  </si>
  <si>
    <t>TKontaktinfo</t>
  </si>
  <si>
    <t>B0CAB5C1</t>
  </si>
  <si>
    <t>TProdukt</t>
  </si>
  <si>
    <t>EA0</t>
  </si>
  <si>
    <t>EA000000-0001-0000-0000-000000000000</t>
  </si>
  <si>
    <t>TArtikel</t>
  </si>
  <si>
    <t>PreisProEinheit</t>
  </si>
  <si>
    <t>real</t>
  </si>
  <si>
    <t>BC0</t>
  </si>
  <si>
    <t>TBarpreis</t>
  </si>
  <si>
    <t>BC000000-0001-0000-0000-000000000000</t>
  </si>
  <si>
    <t>TWaage</t>
  </si>
  <si>
    <t>ServerName</t>
  </si>
  <si>
    <t>Port</t>
  </si>
  <si>
    <t>TEinheit</t>
  </si>
  <si>
    <t>localhost</t>
  </si>
  <si>
    <t>9F58386E-B8FE-4588-AFD4-15411C05F254</t>
  </si>
  <si>
    <t>BA5</t>
  </si>
  <si>
    <t>BA500000-0001-0000-0000-000000000000</t>
  </si>
  <si>
    <t>JAnlageWaage</t>
  </si>
  <si>
    <t>B0AAABA5</t>
  </si>
  <si>
    <t>B0AAABA5-0001-0000-0000-000000000000</t>
  </si>
  <si>
    <t>TNummernkreis</t>
  </si>
  <si>
    <t>ADE</t>
  </si>
  <si>
    <t>ADE00000-0001-0000-0000-000000000000</t>
  </si>
  <si>
    <t>LS Test</t>
  </si>
  <si>
    <t>Test nummern kreis</t>
  </si>
  <si>
    <t>NumLength</t>
  </si>
  <si>
    <t>NumMin</t>
  </si>
  <si>
    <t>NumMax</t>
  </si>
  <si>
    <t>NumAktuell</t>
  </si>
  <si>
    <t>TNummernkreistyp</t>
  </si>
  <si>
    <t>A10744DA-40FE-45AA-A176-E7FE93ED1B07</t>
  </si>
  <si>
    <t>TSpeicher</t>
  </si>
  <si>
    <t>DAF</t>
  </si>
  <si>
    <t>DAF00000-0001-0000-0000-000000000000</t>
  </si>
  <si>
    <t>Aufnahmemenge</t>
  </si>
  <si>
    <t>Fuellstand</t>
  </si>
  <si>
    <t>TKomponente</t>
  </si>
  <si>
    <t>TEinheitMenge</t>
  </si>
  <si>
    <t>Aufnahmeleistung</t>
  </si>
  <si>
    <t>Abgabeleistung</t>
  </si>
  <si>
    <t>TEinheitLeistung</t>
  </si>
  <si>
    <t>Mindestvorrat</t>
  </si>
  <si>
    <t>TRezept</t>
  </si>
  <si>
    <t>NULL</t>
  </si>
  <si>
    <t>E480E9ED-B896-42EC-9495-777D224CCA29</t>
  </si>
  <si>
    <t>DB049841-F98A-492B-AFF7-F3A621A666FC</t>
  </si>
  <si>
    <t>guid</t>
  </si>
  <si>
    <t>DAF00000-0002-0000-0000-000000000000</t>
  </si>
  <si>
    <t>TZugabegruppe</t>
  </si>
  <si>
    <t>JZugabegruppeSpeicher</t>
  </si>
  <si>
    <t>DED</t>
  </si>
  <si>
    <t>DED00000-0001-0000-0000-000000000000</t>
  </si>
  <si>
    <t>B0DEDDAF-0001-0000-0000-000000000000</t>
  </si>
  <si>
    <t>SpeicherKennung</t>
  </si>
  <si>
    <t>SpeicherName</t>
  </si>
  <si>
    <t>EA000000-0002-0000-0000-000000000000</t>
  </si>
  <si>
    <t>ABB00000-0001-0000-0000-000000000000</t>
  </si>
  <si>
    <t>ABB00000-0002-0000-0000-000000000000</t>
  </si>
  <si>
    <t>ABB</t>
  </si>
  <si>
    <t>JArtikelTree</t>
  </si>
  <si>
    <t>TArtikelNext</t>
  </si>
  <si>
    <t>615F3B7D-FEE7-4FC0-BA15-EFFBA45F1EA1</t>
  </si>
  <si>
    <t>B0CAB5C1-0002-0000-0000-000000000000</t>
  </si>
  <si>
    <t>B0ABBABB</t>
  </si>
  <si>
    <t>BC000000-0002-0000-0000-000000000000</t>
  </si>
  <si>
    <t>EA000000-0003-0000-0000-000000000000</t>
  </si>
  <si>
    <t>EA000000-0004-0000-0000-000000000000</t>
  </si>
  <si>
    <t>B0FA0FAD-0002-0000-0000-000000000000</t>
  </si>
  <si>
    <t>FA000000-0003-0000-0000-000000000000</t>
  </si>
  <si>
    <t>B0FA0FAD-0003-0000-0000-000000000000</t>
  </si>
  <si>
    <t>Verbatim</t>
  </si>
  <si>
    <t>TAuftrag</t>
  </si>
  <si>
    <t>AFF</t>
  </si>
  <si>
    <t>AFF00000-0001-0000-0000-000000000000</t>
  </si>
  <si>
    <t>TAuftragstyp</t>
  </si>
  <si>
    <t>TAutonomieInsel</t>
  </si>
  <si>
    <t>LieferBeginnDT</t>
  </si>
  <si>
    <t>LieferEndeDT</t>
  </si>
  <si>
    <t>BEC9FBB6-2B7B-4814-AE40-36AD1FD85934</t>
  </si>
  <si>
    <t>TBetreiberfirmaFaktura</t>
  </si>
  <si>
    <t>JAuftragArtikel</t>
  </si>
  <si>
    <t>B0AFFABB</t>
  </si>
  <si>
    <t>B0AFFABB-0001-0000-0000-000000000000</t>
  </si>
  <si>
    <t>IstHauptArtikel</t>
  </si>
  <si>
    <t>TZuteilungsfuhre</t>
  </si>
  <si>
    <t>D5BC2A25-BDEB-44E6-AE55-5F97FB4E8FF4</t>
  </si>
  <si>
    <t>DateTime</t>
  </si>
  <si>
    <t>JBestellDaten</t>
  </si>
  <si>
    <t>Menge</t>
  </si>
  <si>
    <t>TLieferscheintyp</t>
  </si>
  <si>
    <t>79C8D6AD-C90F-477A-9C32-2D7B06F58340</t>
  </si>
  <si>
    <t>Status</t>
  </si>
  <si>
    <t>UGP</t>
  </si>
  <si>
    <t>IstNurVorlage</t>
  </si>
  <si>
    <t>AFF00000-0002-0000-0000-000000000000</t>
  </si>
  <si>
    <t>B0AFFABB-0020-0000-0000-000000000000</t>
  </si>
  <si>
    <t>B0AFFABB-0021-0000-0000-000000000000</t>
  </si>
  <si>
    <t>JTransportIntervall</t>
  </si>
  <si>
    <t>B0AFFFAF</t>
  </si>
  <si>
    <t>B0AFFFAF-0001-0000-0000-000000000000</t>
  </si>
  <si>
    <t>JFahrzeugFahrzeugtyp</t>
  </si>
  <si>
    <t>TFahrzeugtypVerrechnet</t>
  </si>
  <si>
    <t>BelegungsendeDT</t>
  </si>
  <si>
    <t>BelegungsbeginnDT</t>
  </si>
  <si>
    <t>Priorität</t>
  </si>
  <si>
    <t>pending</t>
  </si>
  <si>
    <t>0B6BA0D6-D9B5-4729-B61A-26E1AA8B87C4</t>
  </si>
  <si>
    <t>TFahrzeugtyp</t>
  </si>
  <si>
    <t>TTransportverrechnung</t>
  </si>
  <si>
    <t>IF EXISTS 
(SELECT * FROM TParaMain WHERE ID = '0FCC4871-78CD-49A3-9215-5A459D79D159') 
BEGIN 
UPDATE 
TParaMain 
SET Kennung = 'Weighing',Name = 'Weighing',TParaTyp= '8869B124-9CEB-4431-AEC8-8D62E1C41484' 
WHERE ID = '0FCC4871-78CD-49A3-9215-5A459D79D159' 
END 
ELSE 
BEGIN  
insert into TParaMain(ID, Kennung, Name, TParaTyp)
values('0FCC4871-78CD-49A3-9215-5A459D79D159', 'Weighing', 'Weighing', '8869B124-9CEB-4431-AEC8-8D62E1C41484')
END</t>
  </si>
  <si>
    <t>IF EXISTS 
(SELECT * FROM TParaValue WHERE ID = 'ABCC4871-78CD-49A3-9215-5A459D79D159') 
BEGIN 
UPDATE 
TParaValue 
SET Kennung = 'SiloLevelAdjustment',Name = 'SiloLevelAdjustment', TParaMain= '0FCC4871-78CD-49A3-9215-5A459D79D159' , Wert = 'Ja'
WHERE ID = 'ABCC4871-78CD-49A3-9215-5A459D79D159' 
END 
ELSE 
BEGIN  
insert into TParaValue(ID, Kennung, Name, TParaMain, Wert)
values('ABCC4871-78CD-49A3-9215-5A459D79D159', 'SiloLevelAdjustment', 'SiloLevelAdjustment', '0FCC4871-78CD-49A3-9215-5A459D79D159', 'Ja')
END</t>
  </si>
  <si>
    <t>EA000000-0010-0000-0000-000000000000</t>
  </si>
  <si>
    <t>EA000000-0011-0000-0000-000000000000</t>
  </si>
  <si>
    <t>EA000000-0012-0000-0000-000000000000</t>
  </si>
  <si>
    <t>EA000000-0013-0000-0000-000000000000</t>
  </si>
  <si>
    <t>DAF00000-0003-0000-0000-000000000000</t>
  </si>
  <si>
    <t>DAF00000-0004-0000-0000-000000000000</t>
  </si>
  <si>
    <t>DAF00000-0005-0000-0000-000000000000</t>
  </si>
  <si>
    <t>DAF00000-0006-0000-0000-000000000000</t>
  </si>
  <si>
    <t>DAF00000-0007-0000-0000-000000000000</t>
  </si>
  <si>
    <t>45134B4B-C066-4C89-AF2D-2857E151CE91</t>
  </si>
  <si>
    <t>B0DEDDAF-0002-0000-0000-000000000000</t>
  </si>
  <si>
    <t>B0DEDDAF-0003-0000-0000-000000000000</t>
  </si>
  <si>
    <t>B0DEDDAF-0004-0000-0000-000000000000</t>
  </si>
  <si>
    <t>B0DEDDAF-0005-0000-0000-000000000000</t>
  </si>
  <si>
    <t>B0DEDDAF-0006-0000-0000-000000000000</t>
  </si>
  <si>
    <t>B0DEDDAF-0007-0000-0000-000000000000</t>
  </si>
  <si>
    <t>TKennzeichen</t>
  </si>
  <si>
    <t>FAF</t>
  </si>
  <si>
    <t>FAF00000-0001-0000-0000-000000000000</t>
  </si>
  <si>
    <t>FAF00000-0002-0000-0000-000000000000</t>
  </si>
  <si>
    <t>FAF00000-0003-0000-0000-000000000000</t>
  </si>
  <si>
    <t>JFzKennzeichen</t>
  </si>
  <si>
    <t>B0FA0FAF</t>
  </si>
  <si>
    <t>B0FA0FAF-0001-0000-0000-000000000000</t>
  </si>
  <si>
    <t>B0FA0FAF-0002-0000-0000-000000000000</t>
  </si>
  <si>
    <t>B0FA0FAF-0003-0000-0000-000000000000</t>
  </si>
  <si>
    <t>TEventCounter</t>
  </si>
  <si>
    <t>EEC</t>
  </si>
  <si>
    <t>Beschreibung</t>
  </si>
  <si>
    <t>CounterId</t>
  </si>
  <si>
    <t>Counter</t>
  </si>
  <si>
    <t>CustomCounterX</t>
  </si>
  <si>
    <t>CustomCounterY</t>
  </si>
  <si>
    <t>CustomCounterZ</t>
  </si>
  <si>
    <t>EEC00000-0004-0000-0000-000000000000</t>
  </si>
  <si>
    <t>EEC00000-0005-0000-0000-000000000000</t>
  </si>
  <si>
    <t>EEC00000-0006-0000-0000-000000000000</t>
  </si>
  <si>
    <t>ProdA1</t>
  </si>
  <si>
    <t>ProdA2</t>
  </si>
  <si>
    <t>ProdB1</t>
  </si>
  <si>
    <t>ProdB2</t>
  </si>
  <si>
    <t>ProdSilA</t>
  </si>
  <si>
    <t>ProdSilB</t>
  </si>
  <si>
    <t>ProdSilC</t>
  </si>
  <si>
    <t>ProdSilD</t>
  </si>
  <si>
    <t>Product A1</t>
  </si>
  <si>
    <t>Product A2</t>
  </si>
  <si>
    <t>Product B1</t>
  </si>
  <si>
    <t>Product B2</t>
  </si>
  <si>
    <t>Product in Silo A</t>
  </si>
  <si>
    <t>Product in Silo B</t>
  </si>
  <si>
    <t>Product in Silo C</t>
  </si>
  <si>
    <t>Product in Silo D</t>
  </si>
  <si>
    <t>CustA</t>
  </si>
  <si>
    <t>CustB</t>
  </si>
  <si>
    <t>KontaktInfoA</t>
  </si>
  <si>
    <t>AmmannBF</t>
  </si>
  <si>
    <t>BaustelleA</t>
  </si>
  <si>
    <t>CustBuildSite1</t>
  </si>
  <si>
    <t>ArtikelA</t>
  </si>
  <si>
    <t>ArtikelB</t>
  </si>
  <si>
    <t>Artikel A name</t>
  </si>
  <si>
    <t>Artikel B name</t>
  </si>
  <si>
    <t>Bridge Test</t>
  </si>
  <si>
    <t>SiloA</t>
  </si>
  <si>
    <t>SiloB</t>
  </si>
  <si>
    <t>SiloC</t>
  </si>
  <si>
    <t>SiloD</t>
  </si>
  <si>
    <t>SiloE</t>
  </si>
  <si>
    <t>SiloF</t>
  </si>
  <si>
    <t>SiloG</t>
  </si>
  <si>
    <t>Silo A name</t>
  </si>
  <si>
    <t>Silo B name</t>
  </si>
  <si>
    <t>Silo C name</t>
  </si>
  <si>
    <t>Silo D name</t>
  </si>
  <si>
    <t>Silo E name</t>
  </si>
  <si>
    <t>Silo F name</t>
  </si>
  <si>
    <t>Silo G name</t>
  </si>
  <si>
    <t>ZGrp_A</t>
  </si>
  <si>
    <t>Zug. Grp. A</t>
  </si>
  <si>
    <t>SiloKA</t>
  </si>
  <si>
    <t>SiloKB</t>
  </si>
  <si>
    <t>SiloKC</t>
  </si>
  <si>
    <t>SiloKD</t>
  </si>
  <si>
    <t>SiloKE</t>
  </si>
  <si>
    <t>SiloKF</t>
  </si>
  <si>
    <t>SiloKG</t>
  </si>
  <si>
    <t>SiloNA</t>
  </si>
  <si>
    <t>SiloNB</t>
  </si>
  <si>
    <t>SiloNC</t>
  </si>
  <si>
    <t>SiloND</t>
  </si>
  <si>
    <t>SiloNE</t>
  </si>
  <si>
    <t>SiloNF</t>
  </si>
  <si>
    <t>SiloNG</t>
  </si>
  <si>
    <t>BasicOrder</t>
  </si>
  <si>
    <t>TwoProductOrder</t>
  </si>
  <si>
    <t>CCC</t>
  </si>
  <si>
    <t>TKomponententyp</t>
  </si>
  <si>
    <t>1DE30BD4-9757-48D6-ACCD-3F3A73A74479</t>
  </si>
  <si>
    <t>JKomponenteKomponententyp</t>
  </si>
  <si>
    <t>B0CCC888</t>
  </si>
  <si>
    <t>76444C22-0C71-41AB-982B-0B3946027242</t>
  </si>
  <si>
    <t>EDD11E0F-0ED2-4CAD-8827-F8E532846661</t>
  </si>
  <si>
    <t>D2AF5FCF-9BED-46D9-BFEC-A925AA49ED6B</t>
  </si>
  <si>
    <t>F582B929-7DA0-468D-8156-25BDB3C1BC9A</t>
  </si>
  <si>
    <t>CCC00000-0001-0001-0000-000000000000</t>
  </si>
  <si>
    <t>CCC00000-0001-0002-0000-000000000000</t>
  </si>
  <si>
    <t>CCC00000-0001-0003-0000-000000000000</t>
  </si>
  <si>
    <t>CCC00000-0001-0004-0000-000000000000</t>
  </si>
  <si>
    <t>B0CCC888-0001-0001-0000-000000000000</t>
  </si>
  <si>
    <t>B0CCC888-0001-0002-0000-000000000000</t>
  </si>
  <si>
    <t>B0CCC888-0001-0003-0000-000000000000</t>
  </si>
  <si>
    <t>B0CCC888-0001-0004-0000-000000000000</t>
  </si>
  <si>
    <t>CCC00000-0002-0001-0000-000000000000</t>
  </si>
  <si>
    <t>CCC00000-0002-0002-0000-000000000000</t>
  </si>
  <si>
    <t>B0CCC888-0002-0001-0000-000000000000</t>
  </si>
  <si>
    <t>B0CCC888-0002-0002-0000-000000000000</t>
  </si>
  <si>
    <t>CCC00000-0003-0001-0000-000000000000</t>
  </si>
  <si>
    <t>CCC00000-0003-0002-0000-000000000000</t>
  </si>
  <si>
    <t>CCC00000-0003-0003-0000-000000000000</t>
  </si>
  <si>
    <t>B0CCC888-0003-0001-0000-000000000000</t>
  </si>
  <si>
    <t>B0CCC888-0003-0002-0000-000000000000</t>
  </si>
  <si>
    <t>B0CCC888-0003-0003-0000-000000000000</t>
  </si>
  <si>
    <t>CCC00000-0004-0001-0000-000000000000</t>
  </si>
  <si>
    <t>B0CCC888-0004-0001-0000-000000000000</t>
  </si>
  <si>
    <t>RezAForProdA1</t>
  </si>
  <si>
    <t>RezA-P1</t>
  </si>
  <si>
    <t>C0C00000-0001-0001-0000-000000000000</t>
  </si>
  <si>
    <t>C0C</t>
  </si>
  <si>
    <t>TTeilrezept</t>
  </si>
  <si>
    <t>DCB</t>
  </si>
  <si>
    <t>DCB00000-0001-0001-0000-000000000000</t>
  </si>
  <si>
    <t>TeilRezA</t>
  </si>
  <si>
    <t>JRezeptTeilrezept</t>
  </si>
  <si>
    <t>B0C0CDCB</t>
  </si>
  <si>
    <t>B0C0CDCB-0001-0001-0000-000000000000</t>
  </si>
  <si>
    <t>JAnlageTeilrezept</t>
  </si>
  <si>
    <t>SpecializedBy</t>
  </si>
  <si>
    <t>TAsphaltTeilrezept</t>
  </si>
  <si>
    <t>TRezeptStatus</t>
  </si>
  <si>
    <t>743AFF31-56CF-498F-919C-4E6E57665669</t>
  </si>
  <si>
    <t>DDD</t>
  </si>
  <si>
    <t>DDD00001-0001-0001-0000-000000000000</t>
  </si>
  <si>
    <t>JAsphaltTeilrezeptKomponente</t>
  </si>
  <si>
    <t>B0DDDCCC</t>
  </si>
  <si>
    <t>B0DDDCCC-0001-0001-0000-000000000000</t>
  </si>
  <si>
    <t>4BFAD41F-75C8-463F-B89A-9B19A98D9AF2</t>
  </si>
  <si>
    <t>DAF00000-0008-0000-0000-000000000000</t>
  </si>
  <si>
    <t>SiloH</t>
  </si>
  <si>
    <t>Silo H name</t>
  </si>
  <si>
    <t>B0DEDDAF-0008-0000-0000-000000000000</t>
  </si>
  <si>
    <t>SiloKH</t>
  </si>
  <si>
    <t>SiloNH</t>
  </si>
  <si>
    <t>AAA00000-0002-0000-0000-000000000000</t>
  </si>
  <si>
    <t>A0A7B330-D20B-43F4-BA61-4C80556584F4</t>
  </si>
  <si>
    <t>AspPlantBatch</t>
  </si>
  <si>
    <t>AspPlantCont</t>
  </si>
  <si>
    <t>B0AAABF0-0002-0000-0000-000000000000</t>
  </si>
  <si>
    <t>JAnlageAnlageteil</t>
  </si>
  <si>
    <t>B0AAAACA</t>
  </si>
  <si>
    <t>ACA</t>
  </si>
  <si>
    <t>TAnlageTeil</t>
  </si>
  <si>
    <t>B0AAAACA-0001-0000-0000-000000000000</t>
  </si>
  <si>
    <t>B0AAAACA-0002-0000-0000-000000000000</t>
  </si>
  <si>
    <t>F7EAD4ED-5596-4438-9CB4-41EACC614385</t>
  </si>
  <si>
    <t>TAnlageteil</t>
  </si>
  <si>
    <t>MitProduzierbarkeitspruefung</t>
  </si>
  <si>
    <t>RezeptSubTyp</t>
  </si>
  <si>
    <t>Leistung</t>
  </si>
  <si>
    <t>MixerBatch</t>
  </si>
  <si>
    <t>MixerKont</t>
  </si>
  <si>
    <t>A</t>
  </si>
  <si>
    <t>TEinheitSofteningPointRB</t>
  </si>
  <si>
    <t>B29FD6E9-B677-4185-8650-704C6068E965</t>
  </si>
  <si>
    <t>Modifiable</t>
  </si>
  <si>
    <t>EEC00000-0007-0000-0000-000000000000</t>
  </si>
  <si>
    <t>TRuestlos</t>
  </si>
  <si>
    <t>EDB</t>
  </si>
  <si>
    <t>EDB00000-0001-0000-0000-000000000000</t>
  </si>
  <si>
    <t>RuestDTsoll</t>
  </si>
  <si>
    <t>TaraManuell</t>
  </si>
  <si>
    <t>TaraAusFzStamm</t>
  </si>
  <si>
    <t>BruttoManuell</t>
  </si>
  <si>
    <t>JBeteiligteFz</t>
  </si>
  <si>
    <t>B0FA0AFF</t>
  </si>
  <si>
    <t>B0FA0AFF-0001-0001-0000-000000000000</t>
  </si>
  <si>
    <t>SubTyp</t>
  </si>
  <si>
    <t>V</t>
  </si>
  <si>
    <t>EDB00000-0002-0000-0000-000000000000</t>
  </si>
  <si>
    <t>EDB00000-0003-0000-0000-000000000000</t>
  </si>
  <si>
    <t>EDB00000-0004-0000-0000-000000000000</t>
  </si>
  <si>
    <t>EDB00000-0005-0000-0000-000000000000</t>
  </si>
  <si>
    <t>EDB00000-0006-0000-0000-000000000000</t>
  </si>
  <si>
    <t>EDB00000-0007-0000-0000-000000000000</t>
  </si>
  <si>
    <t>EDB00000-0008-0000-0000-000000000000</t>
  </si>
  <si>
    <t>Ticket1</t>
  </si>
  <si>
    <t>Ticket2</t>
  </si>
  <si>
    <t>Ticket3</t>
  </si>
  <si>
    <t>Ticket4</t>
  </si>
  <si>
    <t>Ticket5</t>
  </si>
  <si>
    <t>Ticket6</t>
  </si>
  <si>
    <t>Ticket7</t>
  </si>
  <si>
    <t>Ticket8</t>
  </si>
  <si>
    <t>B0FA0AFF-0002-0001-0000-000000000000</t>
  </si>
  <si>
    <t>B0FA0AFF-0003-0001-0000-000000000000</t>
  </si>
  <si>
    <t>B0FA0AFF-0004-0001-0000-000000000000</t>
  </si>
  <si>
    <t>B0FA0AFF-0005-0001-0000-000000000000</t>
  </si>
  <si>
    <t>B0FA0AFF-0006-0001-0000-000000000000</t>
  </si>
  <si>
    <t>B0FA0AFF-0007-0001-0000-000000000000</t>
  </si>
  <si>
    <t>B0FA0AFF-0008-0001-0000-000000000000</t>
  </si>
  <si>
    <t>BE111111</t>
  </si>
  <si>
    <t>AG222222</t>
  </si>
  <si>
    <t>SO333333</t>
  </si>
  <si>
    <t>DED00000-0002-0000-0000-000000000000</t>
  </si>
  <si>
    <t>DED00000-0003-0000-0000-000000000000</t>
  </si>
  <si>
    <t>ZGrp_B</t>
  </si>
  <si>
    <t>Zug. Grp. B</t>
  </si>
  <si>
    <t>ZGrp_C</t>
  </si>
  <si>
    <t>Zug. Grp. C</t>
  </si>
  <si>
    <t>TAdresse</t>
  </si>
  <si>
    <t>Zeile1</t>
  </si>
  <si>
    <t>Zeile2</t>
  </si>
  <si>
    <t>Zeile3</t>
  </si>
  <si>
    <t>TPlzOrt</t>
  </si>
  <si>
    <t>32, Acacia Avenue</t>
  </si>
  <si>
    <t>Broadheath</t>
  </si>
  <si>
    <t>Camblewick Green</t>
  </si>
  <si>
    <t>ADD</t>
  </si>
  <si>
    <t>ADD00000-0001-0000-0000-000000000000</t>
  </si>
  <si>
    <t>AD0</t>
  </si>
  <si>
    <t>AD000000-0001-0000-0000-000000000000</t>
  </si>
  <si>
    <t>Plz</t>
  </si>
  <si>
    <t>Ort</t>
  </si>
  <si>
    <t>HR1</t>
  </si>
  <si>
    <t>Hereford</t>
  </si>
  <si>
    <t>TRegion</t>
  </si>
  <si>
    <t>ADD00000-0002-0000-0000-000000000000</t>
  </si>
  <si>
    <t>BSiteA</t>
  </si>
  <si>
    <t>Work Pt12</t>
  </si>
  <si>
    <t>M42</t>
  </si>
  <si>
    <t>Junction12(south)</t>
  </si>
  <si>
    <t>KontaktInfoB</t>
  </si>
  <si>
    <t>C1000000-0002-0000-0000-000000000000</t>
  </si>
  <si>
    <t>Ladereihenfolge</t>
  </si>
  <si>
    <t>B0CA0B50-0002-0000-0000-000000000000</t>
  </si>
  <si>
    <t>CustBuildSite2</t>
  </si>
  <si>
    <t>B5000000-0002-0000-0000-000000000000</t>
  </si>
  <si>
    <t>BaustelleB</t>
  </si>
  <si>
    <t>B0CA0C10-0002-0000-0000-000000000000</t>
  </si>
  <si>
    <t>ESignDriverRequired</t>
  </si>
  <si>
    <t>Number</t>
  </si>
  <si>
    <t>TZugabegruppentyp</t>
  </si>
  <si>
    <t>53938C66-605D-43DE-92FB-059CB0E145DE</t>
  </si>
  <si>
    <t>VorschlagGehalt</t>
  </si>
  <si>
    <t>Trockendichte</t>
  </si>
  <si>
    <t>Scale1</t>
  </si>
  <si>
    <t>Scale 1 name</t>
  </si>
  <si>
    <t>MyWerk</t>
  </si>
  <si>
    <t>AAB</t>
  </si>
  <si>
    <t>AAB00000-0001-0000-0000-000000000000</t>
  </si>
  <si>
    <t>B5000000-0003-0000-0000-000000000000</t>
  </si>
  <si>
    <t>BaustelleWerk</t>
  </si>
  <si>
    <t>IstStuetzpunkt</t>
  </si>
  <si>
    <t>MyInsel</t>
  </si>
  <si>
    <t>AAC00000-0001-0000-0000-000000000000</t>
  </si>
  <si>
    <t>AAC</t>
  </si>
  <si>
    <t>BF000000-0002-0000-0000-000000000000</t>
  </si>
  <si>
    <t>AlternativeBF</t>
  </si>
  <si>
    <t>ArtikelForAlternativeBF</t>
  </si>
  <si>
    <t>ABB00000-0001-0001-0000-000000000000</t>
  </si>
  <si>
    <t>EA000000-0014-0000-0000-000000000000</t>
  </si>
  <si>
    <t>ProdforAltBF</t>
  </si>
  <si>
    <t>ProdforAltBFirma</t>
  </si>
  <si>
    <t>ArtikelForAltBF</t>
  </si>
  <si>
    <t>B0CAB5C1-0003-0000-0000-000000000000</t>
  </si>
  <si>
    <t>ABB00000-0003-0000-0000-000000000000</t>
  </si>
  <si>
    <t>DrvTar</t>
  </si>
  <si>
    <t>Tarmac for driveway</t>
  </si>
  <si>
    <t>EA000000-0015-0000-0000-000000000000</t>
  </si>
  <si>
    <t>P-DrvTar-A</t>
  </si>
  <si>
    <t>EA000000-0016-0000-0000-000000000000</t>
  </si>
  <si>
    <t>EA000000-0017-0000-0000-000000000000</t>
  </si>
  <si>
    <t>P-DrvTar-B</t>
  </si>
  <si>
    <t>P-DrvTar-C</t>
  </si>
  <si>
    <t>BC000000-0003-0000-0000-000000000000</t>
  </si>
  <si>
    <t>BC000000-0004-0000-0000-000000000000</t>
  </si>
  <si>
    <t>C0C00000-0002-0001-0000-000000000000</t>
  </si>
  <si>
    <t>C0C00000-0003-0001-0000-000000000000</t>
  </si>
  <si>
    <t>RezForDrvTarB</t>
  </si>
  <si>
    <t>Rez-DrvTarB</t>
  </si>
  <si>
    <t>RezForDrvTarC</t>
  </si>
  <si>
    <t>Rez-DrvTarC</t>
  </si>
  <si>
    <t>DCB00000-0002-0001-0000-000000000000</t>
  </si>
  <si>
    <t>DCB00000-0003-0001-0000-000000000000</t>
  </si>
  <si>
    <t>TR-Drv-B</t>
  </si>
  <si>
    <t>TR-Drv-C</t>
  </si>
  <si>
    <t>B0C0CDCB-0002-0001-0000-000000000000</t>
  </si>
  <si>
    <t>B0C0CDCB-0003-0001-0000-000000000000</t>
  </si>
  <si>
    <t>DDD00001-0002-0001-0000-000000000000</t>
  </si>
  <si>
    <t>DDD00001-0003-0001-0000-000000000000</t>
  </si>
  <si>
    <t>B0DDDCCC-0002-0001-0000-000000000000</t>
  </si>
  <si>
    <t>B0DDDCCC-0002-0002-0000-000000000000</t>
  </si>
  <si>
    <t>B0DDDCCC-0002-0003-0000-000000000000</t>
  </si>
  <si>
    <t>B0DDDCCC-0002-0004-0000-000000000000</t>
  </si>
  <si>
    <t>B0DDDCCC-0002-0005-0000-000000000000</t>
  </si>
  <si>
    <t>B0DDDCCC-0003-0001-0000-000000000000</t>
  </si>
  <si>
    <t>B0DDDCCC-0003-0002-0000-000000000000</t>
  </si>
  <si>
    <t>B0DDDCCC-0003-0003-0000-000000000000</t>
  </si>
  <si>
    <t>B0DDDCCC-0003-0004-0000-000000000000</t>
  </si>
  <si>
    <t>B0DDDCCC-0003-0005-0000-000000000000</t>
  </si>
  <si>
    <t>MaximalCharge</t>
  </si>
  <si>
    <t>TTeilrezeptPhase</t>
  </si>
  <si>
    <t>DCC</t>
  </si>
  <si>
    <t>DCC00000-0001-0001-0000-000000000000</t>
  </si>
  <si>
    <t>Mischdauer</t>
  </si>
  <si>
    <t>DCC00000-0002-0001-0000-000000000000</t>
  </si>
  <si>
    <t>DCC00000-0003-0001-0000-000000000000</t>
  </si>
  <si>
    <t>TPlanungsstelle</t>
  </si>
  <si>
    <t>Guid prefixes for table keys</t>
  </si>
  <si>
    <t>Key</t>
  </si>
  <si>
    <t>Table</t>
  </si>
  <si>
    <t>DAC</t>
  </si>
  <si>
    <t>DAC00000-0001-0000-0000-000000000000</t>
  </si>
  <si>
    <t>PlanStelleA</t>
  </si>
  <si>
    <t>update TParaValue
set Wert = 'TRUE'
where Kennung = 'HasFLP'</t>
  </si>
  <si>
    <t>update TParaValue
set Wert = 'ON'
where Kennung = 'TaskTrace'</t>
  </si>
  <si>
    <t>JTransportkapazitaet</t>
  </si>
  <si>
    <t>TMaterialtypTransport</t>
  </si>
  <si>
    <t>TBehaeltertyp</t>
  </si>
  <si>
    <t>Fassungsvermoegen</t>
  </si>
  <si>
    <t>B0FFFBEE</t>
  </si>
  <si>
    <t>B0FFFBEE-0001-0001-0000-000000000000</t>
  </si>
  <si>
    <t>BEE</t>
  </si>
  <si>
    <t>BEE00000-0001-0000-0000-000000000000</t>
  </si>
  <si>
    <t>(Script)Generierter Eintrag</t>
  </si>
  <si>
    <t>JBehaeltertypFztyp</t>
  </si>
  <si>
    <t>B0BEEFAD</t>
  </si>
  <si>
    <t>B0BEEFAD-0001-0000-0000-000000000000</t>
  </si>
  <si>
    <t>Note; there is one of these per FzTyp.</t>
  </si>
  <si>
    <t>BEE00000-0002-0000-0000-000000000000</t>
  </si>
  <si>
    <t>B0BEEFAD-0002-0000-0000-000000000000</t>
  </si>
  <si>
    <t>B0FFFBEE-0002-0001-0000-000000000000</t>
  </si>
  <si>
    <t>FAD00000-0003-0000-0000-000000000000</t>
  </si>
  <si>
    <t>FAD00000-0004-0000-0000-000000000000</t>
  </si>
  <si>
    <t>FAD00000-0005-0000-0000-000000000000</t>
  </si>
  <si>
    <t>FA000000-0004-0000-0000-000000000000</t>
  </si>
  <si>
    <t>FA000000-0005-0000-0000-000000000000</t>
  </si>
  <si>
    <t>FA000000-0006-0000-0000-000000000000</t>
  </si>
  <si>
    <t>FA000000-0007-0000-0000-000000000000</t>
  </si>
  <si>
    <t>B0FA0FAD-0004-0000-0000-000000000000</t>
  </si>
  <si>
    <t>B0FA0FAD-0005-0000-0000-000000000000</t>
  </si>
  <si>
    <t>B0FA0FAD-0006-0000-0000-000000000000</t>
  </si>
  <si>
    <t>B0FA0FAD-0007-0000-0000-000000000000</t>
  </si>
  <si>
    <t>B0FA0FAD-0008-0000-0000-000000000000</t>
  </si>
  <si>
    <t>B0BEEFAD-0003-0000-0000-000000000000</t>
  </si>
  <si>
    <t>B0BEEFAD-0004-0000-0000-000000000000</t>
  </si>
  <si>
    <t>B0BEEFAD-0005-0000-0000-000000000000</t>
  </si>
  <si>
    <t>BEE00000-0003-0000-0000-000000000000</t>
  </si>
  <si>
    <t>BEE00000-0004-0000-0000-000000000000</t>
  </si>
  <si>
    <t>BEE00000-0005-0000-0000-000000000000</t>
  </si>
  <si>
    <t>B0FFFBEE-0003-0001-0000-000000000000</t>
  </si>
  <si>
    <t>B0FFFBEE-0004-0001-0000-000000000000</t>
  </si>
  <si>
    <t>B0FFFBEE-0005-0001-0000-000000000000</t>
  </si>
  <si>
    <t>JFahrzeugPlanungsstelle</t>
  </si>
  <si>
    <t>B0FA0DAC-0001-0000-0000-000000000000</t>
  </si>
  <si>
    <t>B0FA0DAC-0002-0000-0000-000000000000</t>
  </si>
  <si>
    <t>B0FA0DAC-0003-0000-0000-000000000000</t>
  </si>
  <si>
    <t>B0FA0DAC-0004-0000-0000-000000000000</t>
  </si>
  <si>
    <t>B0FA0DAC-0005-0000-0000-000000000000</t>
  </si>
  <si>
    <t>B0FA0DAC-0006-0000-0000-000000000000</t>
  </si>
  <si>
    <t>B0FA0DAC-0007-0000-0000-000000000000</t>
  </si>
  <si>
    <t>B0FA0DAC</t>
  </si>
  <si>
    <t>VonDT</t>
  </si>
  <si>
    <t>BisDT</t>
  </si>
  <si>
    <t>The first integer block in the guid indicates the category of Komponent, the second block is a counter.</t>
  </si>
  <si>
    <t>There is one vordosierung Komponent per cold feed bin VZL.</t>
  </si>
  <si>
    <t>There is one Komponente per sieve grade. AZL. These are used in the Asphalt recipes</t>
  </si>
  <si>
    <t>CCC00000-0001-0005-0000-000000000000</t>
  </si>
  <si>
    <t>CCC00000-0001-0006-0000-000000000000</t>
  </si>
  <si>
    <t>CCC00000-0001-0007-0000-000000000000</t>
  </si>
  <si>
    <t>B0CCC888-0001-0005-0000-000000000000</t>
  </si>
  <si>
    <t>B0CCC888-0001-0006-0000-000000000000</t>
  </si>
  <si>
    <t>B0CCC888-0001-0007-0000-000000000000</t>
  </si>
  <si>
    <t>CCC00000-0005-0001-0000-000000000000</t>
  </si>
  <si>
    <t>89D8BD0C-856D-47CE-8A7E-C50D2E42AC6C</t>
  </si>
  <si>
    <t>B81AF2FF-1179-467A-8CDB-A318F293D674</t>
  </si>
  <si>
    <t>742BD095-11CF-40BA-87D5-AFED3409B530</t>
  </si>
  <si>
    <t>A4838CDD-B042-4D23-BFC6-6D43692438DD</t>
  </si>
  <si>
    <t>086AA17F-D37E-4E76-AC52-B43BB0038A77</t>
  </si>
  <si>
    <t>ED698BB6-A308-483A-B14C-3CD58D5009BE</t>
  </si>
  <si>
    <t>F5312B15-E414-457C-B53E-2EC50CFB1187</t>
  </si>
  <si>
    <t>14FE2E39-3E4F-4519-95FE-40247DDD0356</t>
  </si>
  <si>
    <t>6903681E-4504-4CF5-9D97-DFBB59099876</t>
  </si>
  <si>
    <t>BC1B7E68-7729-487C-A67F-662B4E32AA75</t>
  </si>
  <si>
    <t>68BF4D43-53C2-4800-A1D0-D2E4F50258FF</t>
  </si>
  <si>
    <t>9FAD028C-070E-496F-92C7-2A9D6C216825</t>
  </si>
  <si>
    <t>CB5692F8-FB5F-490A-87DD-B7721C846031</t>
  </si>
  <si>
    <t>1EC9A0DD-2A7A-4CB5-85DB-D55FF7802B2B</t>
  </si>
  <si>
    <t>955F48B7-A49B-4ACF-A856-5E41CE4E8A1F</t>
  </si>
  <si>
    <t>5E5B1A96-D638-4D28-BECF-75330DE6C60A</t>
  </si>
  <si>
    <t>B3D54FB5-F251-4A3C-9915-44BAD10722B5</t>
  </si>
  <si>
    <t>F94A7044-0E0E-4FF5-A24C-31A13E242FDD</t>
  </si>
  <si>
    <t>2401386C-6B61-4FDE-8BD1-F41C3B8710D8</t>
  </si>
  <si>
    <t>86597FE2-3089-4DD8-9615-9F35DC7F5A51</t>
  </si>
  <si>
    <t>569FB8F3-0555-4CE0-B902-493054F25D2E</t>
  </si>
  <si>
    <t>FA985526-31BE-4149-9979-B92C003BEF6D</t>
  </si>
  <si>
    <t>057947B1-B8D5-4BA4-A3F4-335F676BA7DB</t>
  </si>
  <si>
    <t>838064C9-B54D-4A9F-BDDE-3C349F145F0C</t>
  </si>
  <si>
    <t>E0D1DBE7-D032-4714-B38D-C189ED04B9A1</t>
  </si>
  <si>
    <t>9532DC91-AD8E-4D00-A83F-488ED1E160AF</t>
  </si>
  <si>
    <t>C010AF2A-569A-4B92-910A-9BC5DF539140</t>
  </si>
  <si>
    <t>8CCBD447-8D09-416D-B49C-A5782D9C6354</t>
  </si>
  <si>
    <t>C7506858-85CE-40A5-89C7-750261770293</t>
  </si>
  <si>
    <t>9A443927-CC10-4525-B1B0-B69AB25432AF</t>
  </si>
  <si>
    <t>3591184C-8028-48AF-AA14-CB4CC2CC2C39</t>
  </si>
  <si>
    <t>51E11DFE-8D48-420B-880D-509E8D8F9EFB</t>
  </si>
  <si>
    <t>4922745C-9C5A-40A0-8496-C29563AEB791</t>
  </si>
  <si>
    <t>B65C735E-BDB1-484F-BEBF-AFF7314BFB5B</t>
  </si>
  <si>
    <t>ABM</t>
  </si>
  <si>
    <t>AG</t>
  </si>
  <si>
    <t>AGH</t>
  </si>
  <si>
    <t>AGK</t>
  </si>
  <si>
    <t>AZL</t>
  </si>
  <si>
    <t>BBM</t>
  </si>
  <si>
    <t>BE</t>
  </si>
  <si>
    <t>BI</t>
  </si>
  <si>
    <t>BMZusatz</t>
  </si>
  <si>
    <t>BV</t>
  </si>
  <si>
    <t>BZL</t>
  </si>
  <si>
    <t>CR</t>
  </si>
  <si>
    <t>DM</t>
  </si>
  <si>
    <t>DZL</t>
  </si>
  <si>
    <t>EH</t>
  </si>
  <si>
    <t>FA</t>
  </si>
  <si>
    <t>FFG</t>
  </si>
  <si>
    <t>FG</t>
  </si>
  <si>
    <t>FL</t>
  </si>
  <si>
    <t>FM</t>
  </si>
  <si>
    <t>FU</t>
  </si>
  <si>
    <t>FWA</t>
  </si>
  <si>
    <t>HA</t>
  </si>
  <si>
    <t>KW</t>
  </si>
  <si>
    <t>LP</t>
  </si>
  <si>
    <t>PU</t>
  </si>
  <si>
    <t>RH</t>
  </si>
  <si>
    <t>RWA</t>
  </si>
  <si>
    <t>ST</t>
  </si>
  <si>
    <t>TR</t>
  </si>
  <si>
    <t>VZ</t>
  </si>
  <si>
    <t>VZL</t>
  </si>
  <si>
    <t>WA</t>
  </si>
  <si>
    <t>WWA</t>
  </si>
  <si>
    <t>ZL</t>
  </si>
  <si>
    <t>ZM</t>
  </si>
  <si>
    <t>ZMWasser</t>
  </si>
  <si>
    <t>ZS</t>
  </si>
  <si>
    <t>ZZL</t>
  </si>
  <si>
    <t>Komponententyp</t>
  </si>
  <si>
    <t>AsphaltBindemittel</t>
  </si>
  <si>
    <t>Asphaltgranulat</t>
  </si>
  <si>
    <t>Asphaltgranulat Heiss</t>
  </si>
  <si>
    <t>Asphaltgranulat Kalt</t>
  </si>
  <si>
    <t>Mineral ( Asphalt )</t>
  </si>
  <si>
    <t>BetonBindemittel</t>
  </si>
  <si>
    <t>Beschleuniger</t>
  </si>
  <si>
    <t>Bitumen</t>
  </si>
  <si>
    <t>Zusatzstoff für Bindemittelwaage</t>
  </si>
  <si>
    <t>Betonverflüssiger</t>
  </si>
  <si>
    <t>Gesteinskörnung ( Beton )</t>
  </si>
  <si>
    <t>Chromatreduzierer</t>
  </si>
  <si>
    <t>Dichtungsmittel</t>
  </si>
  <si>
    <t>Gesteinskörnung ( Dosierung )</t>
  </si>
  <si>
    <t>Einpresshilfe für Einpressmörtel bei Spannbeton</t>
  </si>
  <si>
    <t>Farbe</t>
  </si>
  <si>
    <t>Faserstoffgranulat für Füllerwaage</t>
  </si>
  <si>
    <t>Faserstoffgranulat</t>
  </si>
  <si>
    <t>Flux</t>
  </si>
  <si>
    <t>Fliessmittel</t>
  </si>
  <si>
    <t>Füller</t>
  </si>
  <si>
    <t>Frischwasser</t>
  </si>
  <si>
    <t>Haftmittel</t>
  </si>
  <si>
    <t>Korrekturwasser</t>
  </si>
  <si>
    <t>Luftporenbildner</t>
  </si>
  <si>
    <t>Pulver</t>
  </si>
  <si>
    <t>Recyclinghilfe für Waschwasser</t>
  </si>
  <si>
    <t>Recyclingwasser</t>
  </si>
  <si>
    <t>Stabilisierer</t>
  </si>
  <si>
    <t>Trinidad</t>
  </si>
  <si>
    <t>Verzögerer</t>
  </si>
  <si>
    <t>Mineral ( Vordosierung )</t>
  </si>
  <si>
    <t>Wasser</t>
  </si>
  <si>
    <t>Warmwasser</t>
  </si>
  <si>
    <t>Gesteinskörnung</t>
  </si>
  <si>
    <t>Zusatzmittel</t>
  </si>
  <si>
    <t>Wasser für Zusatzmittel (Verdünnung/Spülung)</t>
  </si>
  <si>
    <t>Zusatzstoff</t>
  </si>
  <si>
    <t>Gesteinskörnung ( Beschickung )</t>
  </si>
  <si>
    <t>CCC00000-0005-0002-0000-000000000000</t>
  </si>
  <si>
    <t>CCC00000-0005-0003-0000-000000000000</t>
  </si>
  <si>
    <t>CCC00000-0005-0004-0000-000000000000</t>
  </si>
  <si>
    <t>CCC00000-0006-0001-0000-000000000000</t>
  </si>
  <si>
    <t>CCC00000-0006-0002-0000-000000000000</t>
  </si>
  <si>
    <t>CCC00000-0007-0001-0000-000000000000</t>
  </si>
  <si>
    <t>B0CCC888-0005-0001-0000-000000000000</t>
  </si>
  <si>
    <t>B0CCC888-0005-0002-0000-000000000000</t>
  </si>
  <si>
    <t>B0CCC888-0005-0003-0000-000000000000</t>
  </si>
  <si>
    <t>B0CCC888-0005-0004-0000-000000000000</t>
  </si>
  <si>
    <t>B0CCC888-0006-0001-0000-000000000000</t>
  </si>
  <si>
    <t>B0CCC888-0006-0002-0000-000000000000</t>
  </si>
  <si>
    <t>B0CCC888-0007-0001-0000-000000000000</t>
  </si>
  <si>
    <t>$Merc</t>
  </si>
  <si>
    <t>$MercVer</t>
  </si>
  <si>
    <t>$DAF-1</t>
  </si>
  <si>
    <t>$DAF-2</t>
  </si>
  <si>
    <t>$Min Bypass</t>
  </si>
  <si>
    <t>$Min 11-16</t>
  </si>
  <si>
    <t>$Min 16-22</t>
  </si>
  <si>
    <t>$AG-A</t>
  </si>
  <si>
    <t>$AG-B</t>
  </si>
  <si>
    <t>$VD-Bin01</t>
  </si>
  <si>
    <t>$VD-Bin02</t>
  </si>
  <si>
    <t>$VD-Bin03</t>
  </si>
  <si>
    <t>$VD-Bin04</t>
  </si>
  <si>
    <t>$Fuller(Own)</t>
  </si>
  <si>
    <t>$Fuller(Foreign)</t>
  </si>
  <si>
    <t>$FaserG</t>
  </si>
  <si>
    <t>GeoXKoord</t>
  </si>
  <si>
    <t>GeoYKoord</t>
  </si>
  <si>
    <t>GeoZKoord</t>
  </si>
  <si>
    <t>Einsatzzweck</t>
  </si>
  <si>
    <t>TRP</t>
  </si>
  <si>
    <t>DE1</t>
  </si>
  <si>
    <t>TLieferscheinTyp</t>
  </si>
  <si>
    <t>LS1</t>
  </si>
  <si>
    <t>Tanlage</t>
  </si>
  <si>
    <t>AuftragKennung</t>
  </si>
  <si>
    <t>Ord1</t>
  </si>
  <si>
    <t>DE100000-0001-0000-0000-000000000000</t>
  </si>
  <si>
    <t>JLieferschein</t>
  </si>
  <si>
    <t>AFF00000-0003-0000-0000-000000000000</t>
  </si>
  <si>
    <t>AFF00000-0004-0000-0000-000000000000</t>
  </si>
  <si>
    <t>AFF00000-0005-0000-0000-000000000000</t>
  </si>
  <si>
    <t>OrdPartFulfil</t>
  </si>
  <si>
    <t>OrdCompFulfil</t>
  </si>
  <si>
    <t>OrdOverFulfil</t>
  </si>
  <si>
    <t>B0AFFABB-0002-0000-0000-000000000000</t>
  </si>
  <si>
    <t>B0AFFABB-0003-0000-0000-000000000000</t>
  </si>
  <si>
    <t>B0AFFABB-0004-0000-0000-000000000000</t>
  </si>
  <si>
    <t>DE100000-0002-0000-0000-000000000000</t>
  </si>
  <si>
    <t>LS2</t>
  </si>
  <si>
    <t>Ord2</t>
  </si>
  <si>
    <t>DE100000-0003-0000-0000-000000000000</t>
  </si>
  <si>
    <t>LS3</t>
  </si>
  <si>
    <t>Ord3</t>
  </si>
  <si>
    <t>DE100000-0004-0000-0000-000000000000</t>
  </si>
  <si>
    <t>LS4</t>
  </si>
  <si>
    <t>Ord4</t>
  </si>
  <si>
    <t>DE100000-0005-0000-0000-000000000000</t>
  </si>
  <si>
    <t>LS5</t>
  </si>
  <si>
    <t>Ord5</t>
  </si>
  <si>
    <t>DE100000-0006-0000-0000-000000000000</t>
  </si>
  <si>
    <t>LS6</t>
  </si>
  <si>
    <t>Ord6</t>
  </si>
  <si>
    <t>DE100000-0007-0000-0000-000000000000</t>
  </si>
  <si>
    <t>LS7</t>
  </si>
  <si>
    <t>Ord7</t>
  </si>
  <si>
    <t>DE100000-0008-0000-0000-000000000000</t>
  </si>
  <si>
    <t>LS8</t>
  </si>
  <si>
    <t>Ord8</t>
  </si>
  <si>
    <t>EDB00000-0011-0000-0000-000000000000</t>
  </si>
  <si>
    <t>TktPartFulfil</t>
  </si>
  <si>
    <t>EDB00000-0012-0000-0000-000000000000</t>
  </si>
  <si>
    <t>EDB00000-0013-0000-0000-000000000000</t>
  </si>
  <si>
    <t>TktCompFulfil</t>
  </si>
  <si>
    <t>TktOverFulfil</t>
  </si>
  <si>
    <t>DE100000-0011-0000-0000-000000000000</t>
  </si>
  <si>
    <t>DE100000-0012-0000-0000-000000000000</t>
  </si>
  <si>
    <t>DE100000-0013-0000-0000-000000000000</t>
  </si>
  <si>
    <t>Tkt_Part</t>
  </si>
  <si>
    <t>Tkt_Comp</t>
  </si>
  <si>
    <t>Tkt_Over</t>
  </si>
  <si>
    <t>OrdPart</t>
  </si>
  <si>
    <t>OrdComp</t>
  </si>
  <si>
    <t>OrdOver</t>
  </si>
  <si>
    <t>CCC00000-0001-0008-0000-000000000000</t>
  </si>
  <si>
    <t>$DisContMin</t>
  </si>
  <si>
    <t>B0CCC888-0001-0008-0000-000000000000</t>
  </si>
  <si>
    <t>Disabled</t>
  </si>
  <si>
    <t>C0C00000-0004-0001-0000-000000000000</t>
  </si>
  <si>
    <t>RezWithDeletedKomp</t>
  </si>
  <si>
    <t>TR-DelKomp</t>
  </si>
  <si>
    <t>B0C0CDCB-0004-0001-0000-000000000000</t>
  </si>
  <si>
    <t>DCB00000-0004-0001-0000-000000000000</t>
  </si>
  <si>
    <t>DDD00001-0004-0001-0000-000000000000</t>
  </si>
  <si>
    <t>DCC00000-0004-0001-0000-000000000000</t>
  </si>
  <si>
    <t>B0DDDCCC-0004-0001-0000-000000000000</t>
  </si>
  <si>
    <t>B0DDDCCC-0004-0002-0000-000000000000</t>
  </si>
  <si>
    <t>C1000000-0003-0000-0000-000000000000</t>
  </si>
  <si>
    <t>KontaktInfoWerk</t>
  </si>
  <si>
    <t>Werk Addr</t>
  </si>
  <si>
    <t>Werk St</t>
  </si>
  <si>
    <t>Werk Town</t>
  </si>
  <si>
    <t>Werk State</t>
  </si>
  <si>
    <t>ADD00000-0003-0000-0000-000000000000</t>
  </si>
  <si>
    <t>EFA</t>
  </si>
  <si>
    <t>TWartungsTeil</t>
  </si>
  <si>
    <t>EFA00000-0001-0000-0000-000000000000</t>
  </si>
  <si>
    <t>Plant</t>
  </si>
  <si>
    <t>AnlageId</t>
  </si>
  <si>
    <t>ConnectionId</t>
  </si>
  <si>
    <t>EFA00000-0001-0001-0000-000000000000</t>
  </si>
  <si>
    <t>EFA00000-0001-0002-0000-000000000000</t>
  </si>
  <si>
    <t>EFA00000-0001-0003-0000-000000000000</t>
  </si>
  <si>
    <t>B0EFAEFA</t>
  </si>
  <si>
    <t>JWartungsTeilTree</t>
  </si>
  <si>
    <t>B0EFAEFA-0001-0000-0000-000000000000</t>
  </si>
  <si>
    <t>TWartungsTeilNext</t>
  </si>
  <si>
    <t>B0EFAEFA-0002-0000-0000-000000000000</t>
  </si>
  <si>
    <t>B0EFAEFA-0003-0000-0000-000000000000</t>
  </si>
  <si>
    <t>EFB</t>
  </si>
  <si>
    <t>TWartungsTask</t>
  </si>
  <si>
    <t>EFC</t>
  </si>
  <si>
    <t>TZeitplanRegel</t>
  </si>
  <si>
    <t>TZeitPlanRegel</t>
  </si>
  <si>
    <t>EFC00000-0001-0000-0000-000000000000</t>
  </si>
  <si>
    <t>Vorlage</t>
  </si>
  <si>
    <t>freq_interval</t>
  </si>
  <si>
    <t>freq_subday_type</t>
  </si>
  <si>
    <t>freq_subday_interval</t>
  </si>
  <si>
    <t>freq_relative_interval</t>
  </si>
  <si>
    <t>freq_recurrence_factor</t>
  </si>
  <si>
    <t>freq_type</t>
  </si>
  <si>
    <t>Prioritaet</t>
  </si>
  <si>
    <t>Zeitraum</t>
  </si>
  <si>
    <t>FaelligkeitAktuell</t>
  </si>
  <si>
    <t>Dauer</t>
  </si>
  <si>
    <t>Planungsart</t>
  </si>
  <si>
    <t>FaelligkeitGeplant</t>
  </si>
  <si>
    <t>EFB00000-0002-0000-0000-000000000000</t>
  </si>
  <si>
    <t>EFB00000-0003-0000-0000-000000000000</t>
  </si>
  <si>
    <t>EFB00000-0004-0000-0000-000000000000</t>
  </si>
  <si>
    <t>EFB00000-0005-0000-0000-000000000000</t>
  </si>
  <si>
    <t>EFD</t>
  </si>
  <si>
    <t>TlEventObserverSync</t>
  </si>
  <si>
    <t>EFE</t>
  </si>
  <si>
    <t>TlEventObserver</t>
  </si>
  <si>
    <t>B0EFBEFD</t>
  </si>
  <si>
    <t>JWartungsEventListe</t>
  </si>
  <si>
    <t>EFE00000-0001-0000-0000-000000000000</t>
  </si>
  <si>
    <t>ConditionValue</t>
  </si>
  <si>
    <t>SplitCounter</t>
  </si>
  <si>
    <t>SplitTime</t>
  </si>
  <si>
    <t>ObserverName</t>
  </si>
  <si>
    <t>ObserverGroup</t>
  </si>
  <si>
    <t>ConditionType</t>
  </si>
  <si>
    <t>ISMA</t>
  </si>
  <si>
    <t>EFD00000-0001-0000-0000-000000000000</t>
  </si>
  <si>
    <t>InstalledObserver</t>
  </si>
  <si>
    <t>JWartungsEventliste</t>
  </si>
  <si>
    <t>InstalledSyncObserver</t>
  </si>
  <si>
    <t>EFE00000-0002-0000-0000-000000000000</t>
  </si>
  <si>
    <t>EFE00000-0003-0000-0000-000000000000</t>
  </si>
  <si>
    <t>EFD00000-0002-0000-0000-000000000000</t>
  </si>
  <si>
    <t>EFD00000-0003-0000-0000-000000000000</t>
  </si>
  <si>
    <t>EFE00000-0004-0000-0000-000000000000</t>
  </si>
  <si>
    <t>EFE00000-0005-0000-0000-000000000000</t>
  </si>
  <si>
    <t>EFD00000-0004-0000-0000-000000000000</t>
  </si>
  <si>
    <t>EFD00000-0005-0000-0000-000000000000</t>
  </si>
  <si>
    <t>$Min 00-02</t>
  </si>
  <si>
    <t>$Min 02-05</t>
  </si>
  <si>
    <t>$Min0 5-08</t>
  </si>
  <si>
    <t>$Min 05-08</t>
  </si>
  <si>
    <t>$Min 08-11</t>
  </si>
  <si>
    <t>SofteningPointRB</t>
  </si>
  <si>
    <t>RezWithTwoPlants</t>
  </si>
  <si>
    <t>C0C00000-0005-0001-0000-000000000000</t>
  </si>
  <si>
    <t>DCB00000-0005-0001-0000-000000000000</t>
  </si>
  <si>
    <t>TR-2Plant</t>
  </si>
  <si>
    <t>B0C0CDCB-0005-0001-0000-000000000000</t>
  </si>
  <si>
    <t>DDD00001-0005-0001-0000-000000000000</t>
  </si>
  <si>
    <t>DDD00001-0005-0002-0000-000000000000</t>
  </si>
  <si>
    <t>DCC00000-0005-0001-0000-000000000000</t>
  </si>
  <si>
    <t>DCC00000-0005-0002-0000-000000000000</t>
  </si>
  <si>
    <t>B0DDDCCC-0005-0001-0000-000000000000</t>
  </si>
  <si>
    <t>B0DDDCCC-0005-0002-0000-000000000000</t>
  </si>
  <si>
    <t>402E9559-9E07-41A0-9F95-423543FC2F8E</t>
  </si>
  <si>
    <t>A5A69F8A-1B58-4AE1-8B43-D92C20CC6BDC</t>
  </si>
  <si>
    <t>AFF00000-0006-0000-0000-000000000000</t>
  </si>
  <si>
    <t>OrdRez2Plants</t>
  </si>
  <si>
    <t>B0AFFABB-0005-0000-0000-000000000000</t>
  </si>
  <si>
    <t>JAnlageTeilrezept/TAsphaltTeilRezept</t>
  </si>
  <si>
    <t>DDC</t>
  </si>
  <si>
    <t>TAsphaltTeilrezeptKopie</t>
  </si>
  <si>
    <t>DDC00001-0001-0001-0000-000000000000</t>
  </si>
  <si>
    <t>TRezeptMutation</t>
  </si>
  <si>
    <t>7E098775-A37A-450A-9FA4-3C8CE0428AAB</t>
  </si>
  <si>
    <t>23CDF6A4-AE35-4B20-B7BF-26EF43CF24B3</t>
  </si>
  <si>
    <t>02D4CE8E-4461-4729-A1B5-42D54B640115</t>
  </si>
  <si>
    <t>25D64D43-0101-44AF-B500-B61568F2D36A</t>
  </si>
  <si>
    <t>EB336430-14D5-42C0-938B-40944608F109</t>
  </si>
  <si>
    <t>C8BD0464-B175-4A7B-9C32-FFE9267DD832</t>
  </si>
  <si>
    <t>A666CB7A-EE39-4976-910D-C81F52FBFAF0</t>
  </si>
  <si>
    <t>6487B3C1-97A3-444D-95EE-A2ADD8A37778</t>
  </si>
  <si>
    <t>45E87A26-ED94-43FA-9D56-5CFF14D15B03</t>
  </si>
  <si>
    <t>AAlles</t>
  </si>
  <si>
    <t>ANichts</t>
  </si>
  <si>
    <t>BAlles</t>
  </si>
  <si>
    <t>BMengen+Zus</t>
  </si>
  <si>
    <t>BNichts</t>
  </si>
  <si>
    <t>KAlles</t>
  </si>
  <si>
    <t>KNichts</t>
  </si>
  <si>
    <t>SLAlles</t>
  </si>
  <si>
    <t>SLNichts</t>
  </si>
  <si>
    <t>Jeder Rezeptwert lässt sich ändern</t>
  </si>
  <si>
    <t>Kein Rezeptwert lässt sich ändern</t>
  </si>
  <si>
    <t>Nur Mengen und Zusatzmittel lassen sich ändern</t>
  </si>
  <si>
    <t>Jeder Rezeptwert lässt sich änden</t>
  </si>
  <si>
    <t>Keine Änderungen an der Sieblinie möglich</t>
  </si>
  <si>
    <t>SofteningPointRBToleranceMin</t>
  </si>
  <si>
    <t>SofteningPointRBToleranceMax</t>
  </si>
  <si>
    <t>Penetration</t>
  </si>
  <si>
    <t>PenetrationToleranceMin</t>
  </si>
  <si>
    <t>PenetrationToleranceMax</t>
  </si>
  <si>
    <t>CCC00000-0003-0004-0000-000000000000</t>
  </si>
  <si>
    <t>CCC00000-0003-0005-0000-000000000000</t>
  </si>
  <si>
    <t>CCC00000-0003-0006-0000-000000000000</t>
  </si>
  <si>
    <t>CCC00000-0003-0007-0000-000000000000</t>
  </si>
  <si>
    <t>CCC00000-0003-0008-0000-000000000000</t>
  </si>
  <si>
    <t>CCC00000-0003-0009-0000-000000000000</t>
  </si>
  <si>
    <t>$BP-100/150</t>
  </si>
  <si>
    <t>$BP-160/220</t>
  </si>
  <si>
    <t>$BP-250/330</t>
  </si>
  <si>
    <t>B0CCC888-0003-0004-0000-000000000000</t>
  </si>
  <si>
    <t>B0CCC888-0003-0005-0000-000000000000</t>
  </si>
  <si>
    <t>B0CCC888-0003-0006-0000-000000000000</t>
  </si>
  <si>
    <t>B0CCC888-0003-0007-0000-000000000000</t>
  </si>
  <si>
    <t>B0CCC888-0003-0008-0000-000000000000</t>
  </si>
  <si>
    <t>B0CCC888-0003-0009-0000-000000000000</t>
  </si>
  <si>
    <t>LagertemperaturVorschlag</t>
  </si>
  <si>
    <t>TemperatureMaxAllowed</t>
  </si>
  <si>
    <t>$BP-020/030</t>
  </si>
  <si>
    <t>$BP-030/045</t>
  </si>
  <si>
    <t>$BP-035/050</t>
  </si>
  <si>
    <t>$BP-040/060</t>
  </si>
  <si>
    <t>$BP-050/070</t>
  </si>
  <si>
    <t>$BP-070/100</t>
  </si>
  <si>
    <t>TEinheitTemperature</t>
  </si>
  <si>
    <t>TFakturabehandlung</t>
  </si>
  <si>
    <t>TLieferscheinbehandlung</t>
  </si>
  <si>
    <t>767A6E14-3773-484C-BF6A-90F3A4E5E0D6</t>
  </si>
  <si>
    <t>0575BA45-8E81-41C9-B1B5-40612320A473</t>
  </si>
  <si>
    <t>TLocalizedText</t>
  </si>
  <si>
    <t>A099A296-DF62-46A3-9768-6ABC320D6E01</t>
  </si>
  <si>
    <t>A099A296-DF62-46A3-9768-6ABC320D6E02</t>
  </si>
  <si>
    <t>A099A296-DF62-46A3-9768-6ABC320D6E03</t>
  </si>
  <si>
    <t>A099A296-DF62-46A3-9768-6ABC320D6E04</t>
  </si>
  <si>
    <t>A099A296-DF62-46A3-9768-6ABC320D6E05</t>
  </si>
  <si>
    <t>A099A296-DF62-46A3-9768-6ABC320D6E06</t>
  </si>
  <si>
    <t>A099A296-DF62-46A3-9768-6ABC320D6E07</t>
  </si>
  <si>
    <t>A099A296-DF62-46A3-9768-6ABC320D6E08</t>
  </si>
  <si>
    <t>A099A296-DF62-46A3-9768-6ABC320D6E09</t>
  </si>
  <si>
    <t>A099A296-DF62-46A3-9768-6ABC320D6E10</t>
  </si>
  <si>
    <t>A099A296-DF62-46A3-9768-6ABC320D6E11</t>
  </si>
  <si>
    <t>A099A296-DF62-46A3-9768-6ABC320D6E12</t>
  </si>
  <si>
    <t>A099A296-DF62-46A3-9768-6ABC320D6E13</t>
  </si>
  <si>
    <t>A099A296-DF62-46A3-9768-6ABC320D6E14</t>
  </si>
  <si>
    <t>A099A296-DF62-46A3-9768-6ABC320D6E15</t>
  </si>
  <si>
    <t>A099A296-DF62-46A3-9768-6ABC320D6E16</t>
  </si>
  <si>
    <t>GroupId</t>
  </si>
  <si>
    <t>TextId</t>
  </si>
  <si>
    <t>Text</t>
  </si>
  <si>
    <t>Protected</t>
  </si>
  <si>
    <t>LanguageId</t>
  </si>
  <si>
    <t>SignPadAgent</t>
  </si>
  <si>
    <t>AgentName</t>
  </si>
  <si>
    <t>CompleteWithoutSignature</t>
  </si>
  <si>
    <t>ContactLocalSupport</t>
  </si>
  <si>
    <t>DocumentsToSign</t>
  </si>
  <si>
    <t>DocumentSuccessfullySigned</t>
  </si>
  <si>
    <t>Exit</t>
  </si>
  <si>
    <t>FullName</t>
  </si>
  <si>
    <t>InternalError</t>
  </si>
  <si>
    <t>InvalidSignature</t>
  </si>
  <si>
    <t>NoDocumentsToSign</t>
  </si>
  <si>
    <t>OpenSigningDialog</t>
  </si>
  <si>
    <t>ProgramCloseConfirmation</t>
  </si>
  <si>
    <t>RemoveSelection</t>
  </si>
  <si>
    <t>StandbyText</t>
  </si>
  <si>
    <t>ThankYou</t>
  </si>
  <si>
    <t>A099A296-DF62-46A3-9768-6ABC320D6E17</t>
  </si>
  <si>
    <t>as1 Sign Pad Agent</t>
  </si>
  <si>
    <t>Ohne Unterschrift fertigstellen</t>
  </si>
  <si>
    <t>Bitte melden Sie sich bei Ihrem lokalen Ammann Support</t>
  </si>
  <si>
    <t>Zu unterschreibende Dokumente</t>
  </si>
  <si>
    <t>Das Dokument wurde erfolgreich unterschrieben</t>
  </si>
  <si>
    <t>Beenden</t>
  </si>
  <si>
    <t>Vollständiger Name</t>
  </si>
  <si>
    <t>Interner Fehler</t>
  </si>
  <si>
    <t>Die erfasste Unterschrift ist unzureichend. Bitte wiederholen Sie die Erfassung mit einer deutlicheren Unterschrift</t>
  </si>
  <si>
    <t>Zurzeit liegen keine Dokumente zur Unterschrift vor</t>
  </si>
  <si>
    <t>Unterschriften Dialog öffnen...</t>
  </si>
  <si>
    <t>Nach dem Beenden des Sign Pad Agent lassen sich keine Unterschriften mehr erfassen. Wollen sie die Anwendung wirklich beenden?</t>
  </si>
  <si>
    <t>Auswahl Entfernen</t>
  </si>
  <si>
    <t>Unterschriften Erfassung ausser Betrieb</t>
  </si>
  <si>
    <t>Besten Dank</t>
  </si>
  <si>
    <t>A099A296-DF62-46A3-9768-6ABC320D6E18</t>
  </si>
  <si>
    <t>DocumentKennung</t>
  </si>
  <si>
    <t>DocumentDetails</t>
  </si>
  <si>
    <t>DocumentSigner</t>
  </si>
  <si>
    <t>Bezeichnung</t>
  </si>
  <si>
    <t>Rolle</t>
  </si>
  <si>
    <t>B0FA0AFF-0011-0001-0000-000000000000</t>
  </si>
  <si>
    <t>B0FA0AFF-0012-0001-0000-000000000000</t>
  </si>
  <si>
    <t>B0FA0AFF-0013-0001-0000-000000000000</t>
  </si>
  <si>
    <t>Liefermenge</t>
  </si>
  <si>
    <t>AFF00000-0007-0000-0000-000000000000</t>
  </si>
  <si>
    <t>AFF00000-0008-0000-0000-000000000000</t>
  </si>
  <si>
    <t>OrdUnbestPartFill</t>
  </si>
  <si>
    <t>OrdUnbestOverFill</t>
  </si>
  <si>
    <t>HatUnbestimmteRestmenge</t>
  </si>
  <si>
    <t>B0AFFABB-0007-0000-0000-000000000000</t>
  </si>
  <si>
    <t>B0AFFABB-0008-0000-0000-000000000000</t>
  </si>
  <si>
    <t>AFF00000-0009-0000-0000-000000000000</t>
  </si>
  <si>
    <t>OrdFertig</t>
  </si>
  <si>
    <t>FertigDt</t>
  </si>
  <si>
    <t>B0AFFABB-0009-0000-0000-000000000000</t>
  </si>
  <si>
    <t>JAuftragArtikel/JBestellDaten</t>
  </si>
  <si>
    <t>AFF00000-0010-0000-0000-000000000000</t>
  </si>
  <si>
    <t>OrdNoBestell</t>
  </si>
  <si>
    <t>B0AFFABB-0010-0000-0000-000000000000</t>
  </si>
  <si>
    <t>EFF</t>
  </si>
  <si>
    <t>TWartungsArtikel</t>
  </si>
  <si>
    <t>B0EFBEFF</t>
  </si>
  <si>
    <t>TWartungstaskWartungsArtikel</t>
  </si>
  <si>
    <t>EFF00000-0001-0000-0000-000000000000</t>
  </si>
  <si>
    <t>Description</t>
  </si>
  <si>
    <t>Price</t>
  </si>
  <si>
    <t>EFF00000-0002-0000-0000-000000000000</t>
  </si>
  <si>
    <t>EFF00000-0003-0000-0000-000000000000</t>
  </si>
  <si>
    <t>EFF00000-0004-0000-0000-000000000000</t>
  </si>
  <si>
    <t>EFF00000-0005-0000-0000-000000000000</t>
  </si>
  <si>
    <t>Nuts and bolts</t>
  </si>
  <si>
    <t>Grease</t>
  </si>
  <si>
    <t>Crane</t>
  </si>
  <si>
    <t>Metas official</t>
  </si>
  <si>
    <t>Filter</t>
  </si>
  <si>
    <t>PerUnit</t>
  </si>
  <si>
    <t>PerHour</t>
  </si>
  <si>
    <t>Some nuts and bolts and washers too</t>
  </si>
  <si>
    <t>All purpose grease</t>
  </si>
  <si>
    <t xml:space="preserve">3.5 T self driving </t>
  </si>
  <si>
    <t>Required to sign off scale calibration</t>
  </si>
  <si>
    <t>Just knock the dust out of the old one and replace</t>
  </si>
  <si>
    <t>B0EFBEFF-0001-0000-0000-000000000000</t>
  </si>
  <si>
    <t>Quantity</t>
  </si>
  <si>
    <t>IsMasterDataItem</t>
  </si>
  <si>
    <t>ArticleType</t>
  </si>
  <si>
    <t>SupplierName</t>
  </si>
  <si>
    <t>SupplierURL</t>
  </si>
  <si>
    <t>SupplierArticleIdentifier</t>
  </si>
  <si>
    <t>OrderInfo</t>
  </si>
  <si>
    <t>DocumentLink</t>
  </si>
  <si>
    <t>Acme Fasteners</t>
  </si>
  <si>
    <t>HWT</t>
  </si>
  <si>
    <t>RJ engineering</t>
  </si>
  <si>
    <t>TUnit</t>
  </si>
  <si>
    <t>Invoice from ABC</t>
  </si>
  <si>
    <t>Some one off style invoice</t>
  </si>
  <si>
    <t>ABC</t>
  </si>
  <si>
    <t>B0EFBEFF-0002-0000-0000-000000000000</t>
  </si>
  <si>
    <t>EFF00000-0006-0000-0000-000000000000</t>
  </si>
  <si>
    <t>TDimAnlageAnlageTeil</t>
  </si>
  <si>
    <t>PID</t>
  </si>
  <si>
    <t>AnlageKennung</t>
  </si>
  <si>
    <t>AnlageName</t>
  </si>
  <si>
    <t>PIDAnlage</t>
  </si>
  <si>
    <t>AnlageTypKennung</t>
  </si>
  <si>
    <t>AnlageTypName</t>
  </si>
  <si>
    <t>PIDAnlageTyp</t>
  </si>
  <si>
    <t>AnlageTeilKennung</t>
  </si>
  <si>
    <t>PIDAnlageTeil</t>
  </si>
  <si>
    <t>D01</t>
  </si>
  <si>
    <t>D02</t>
  </si>
  <si>
    <t>D03</t>
  </si>
  <si>
    <t>D04</t>
  </si>
  <si>
    <t>TDimRezept</t>
  </si>
  <si>
    <t>TDimDate</t>
  </si>
  <si>
    <t>TDimTime</t>
  </si>
  <si>
    <t>D0100000-0001-0000-0000-000000000000</t>
  </si>
  <si>
    <t>Asphalt</t>
  </si>
  <si>
    <t>Produktionsanlage für Heissmischbeläge</t>
  </si>
  <si>
    <t>AnlageTeilName</t>
  </si>
  <si>
    <t>AM1</t>
  </si>
  <si>
    <t>Asphaltmischer 1</t>
  </si>
  <si>
    <t>D0200000-0001-0000-0000-000000000000</t>
  </si>
  <si>
    <t>KategorieName</t>
  </si>
  <si>
    <t>KategorieColor</t>
  </si>
  <si>
    <t>PIDTeilrezeptRezeptkategorie</t>
  </si>
  <si>
    <t>ProduktKennung</t>
  </si>
  <si>
    <t>ProduktName</t>
  </si>
  <si>
    <t>PIDProdukt</t>
  </si>
  <si>
    <t>ArtikelKennung</t>
  </si>
  <si>
    <t>ArtikelName</t>
  </si>
  <si>
    <t>PIDArtikel</t>
  </si>
  <si>
    <t>TRezeptKategorie</t>
  </si>
  <si>
    <t>DAB</t>
  </si>
  <si>
    <t>B0DCBDAB</t>
  </si>
  <si>
    <t>TTeilRezeptRezeptKategorie</t>
  </si>
  <si>
    <t>DAB00000-0001-0001-0000-000000000000</t>
  </si>
  <si>
    <t>Annotation</t>
  </si>
  <si>
    <t>Color</t>
  </si>
  <si>
    <t>SMH</t>
  </si>
  <si>
    <t>Super vesatile hotmix</t>
  </si>
  <si>
    <t>B0DCBDAB-0001-0000-0000-000000000000</t>
  </si>
  <si>
    <t>D0300000-0001-0000-0000-000000000000</t>
  </si>
  <si>
    <t>SQLDateStamp</t>
  </si>
  <si>
    <t>D0400000-0001-0000-0000-000000000000</t>
  </si>
  <si>
    <t>SQLTimeStamp</t>
  </si>
  <si>
    <t>08:30:00.0</t>
  </si>
  <si>
    <t>D05</t>
  </si>
  <si>
    <t>TFactProductionQuantity</t>
  </si>
  <si>
    <t>D0500000-0001-0000-0000-000000000000</t>
  </si>
  <si>
    <t>TotalQuantity</t>
  </si>
  <si>
    <t>RAQuantity</t>
  </si>
  <si>
    <t>Unit</t>
  </si>
  <si>
    <t>kg</t>
  </si>
  <si>
    <t>00000000-0000-0000-0000-000000000000</t>
  </si>
  <si>
    <t>http://www.acme.com.au</t>
  </si>
  <si>
    <t>07BF3D72-D6D2-404F-B719-1BCB2D2CD1B7</t>
  </si>
  <si>
    <t>7F3FDFD8-1EC3-4C01-97ED-4CE61DDAC351</t>
  </si>
  <si>
    <t>M12 x 35mm</t>
  </si>
  <si>
    <t>High melting point</t>
  </si>
  <si>
    <t>Higgins 17m</t>
  </si>
  <si>
    <t>MM2</t>
  </si>
  <si>
    <t>35cm x 45 cm</t>
  </si>
  <si>
    <t>BB43BEF1-9633-11D5-AAEF-00105A9C9302</t>
  </si>
  <si>
    <t>AEE</t>
  </si>
  <si>
    <t>AEE00000-0001-0000-0000-000000000000</t>
  </si>
  <si>
    <t>MatTypTran</t>
  </si>
  <si>
    <t>LSKreissubtyp</t>
  </si>
  <si>
    <t>L</t>
  </si>
  <si>
    <t>ABB00000-0004-0000-0000-000000000000</t>
  </si>
  <si>
    <t>WeighingOnly</t>
  </si>
  <si>
    <t>B0CAB5C1-0004-0000-0000-000000000000</t>
  </si>
  <si>
    <t>BC000000-0005-0000-0000-000000000000</t>
  </si>
  <si>
    <t>EA000000-0018-0000-0000-000000000000</t>
  </si>
  <si>
    <t>Weighing</t>
  </si>
  <si>
    <t>EFA00000-0001-0004-0000-000000000000</t>
  </si>
  <si>
    <t>EFA00000-0001-0005-0000-000000000000</t>
  </si>
  <si>
    <t>EFA00000-0001-0006-0000-000000000000</t>
  </si>
  <si>
    <t>EFA00000-0001-0007-0000-000000000000</t>
  </si>
  <si>
    <t>B0EFAEFA-0004-0000-0000-000000000000</t>
  </si>
  <si>
    <t>B0EFAEFA-0005-0000-0000-000000000000</t>
  </si>
  <si>
    <t>B0EFAEFA-0006-0000-0000-000000000000</t>
  </si>
  <si>
    <t>B0EFAEFA-0007-0000-0000-000000000000</t>
  </si>
  <si>
    <t>DR02</t>
  </si>
  <si>
    <t>Check Drums</t>
  </si>
  <si>
    <t>EFF00000-0001-0000-9999-000000000000</t>
  </si>
  <si>
    <t>Amm1027078</t>
  </si>
  <si>
    <t>Rührschaufelunterlage</t>
  </si>
  <si>
    <t>Ammann</t>
  </si>
  <si>
    <t>http://www.ammann-group.com</t>
  </si>
  <si>
    <t>EFF00000-0002-0000-9999-000000000000</t>
  </si>
  <si>
    <t>EFF00000-0003-0000-9999-000000000000</t>
  </si>
  <si>
    <t>EFF00000-0004-0000-9999-000000000000</t>
  </si>
  <si>
    <t>EFF00000-0005-0000-9999-000000000000</t>
  </si>
  <si>
    <t>Amm1029663</t>
  </si>
  <si>
    <t>Rührschaufel</t>
  </si>
  <si>
    <t>AmmJ901967</t>
  </si>
  <si>
    <t>6Kt Schraube</t>
  </si>
  <si>
    <t>J901967</t>
  </si>
  <si>
    <t>Amm1030722</t>
  </si>
  <si>
    <t>6Kt Mutter</t>
  </si>
  <si>
    <t>1030722</t>
  </si>
  <si>
    <t>AmmJ902389</t>
  </si>
  <si>
    <t>Spannscheibe</t>
  </si>
  <si>
    <t>J902270</t>
  </si>
  <si>
    <t>EFF00000-0001-0000-8888-000000000000</t>
  </si>
  <si>
    <t>EFF00000-0002-0000-8888-000000000000</t>
  </si>
  <si>
    <t>AmmMechaniker</t>
  </si>
  <si>
    <t>Mechaniker aus Ammann</t>
  </si>
  <si>
    <t>AmmMech</t>
  </si>
  <si>
    <t>AmmElek</t>
  </si>
  <si>
    <t>AmmElektriker</t>
  </si>
  <si>
    <t>Elektriker aus Ammann</t>
  </si>
  <si>
    <t>EFE00000-0006-0000-0000-000000000000</t>
  </si>
  <si>
    <t>EFD00000-0006-0000-0000-000000000000</t>
  </si>
  <si>
    <t>TDataLog</t>
  </si>
  <si>
    <t>LogId</t>
  </si>
  <si>
    <t>2D1A6D00-76AE-4A61-8475-930F43B8C566</t>
  </si>
  <si>
    <t>TypeOfRecording</t>
  </si>
  <si>
    <t>DA1</t>
  </si>
  <si>
    <t>TDataSample</t>
  </si>
  <si>
    <t>DA100000-0001-0000-0000-000000000000</t>
  </si>
  <si>
    <t>Erfassungszeitpunkt</t>
  </si>
  <si>
    <t>Messwert</t>
  </si>
  <si>
    <t>;</t>
  </si>
  <si>
    <t>Teinheit</t>
  </si>
  <si>
    <t>CCC00000-0004-0002-0000-000000000000</t>
  </si>
  <si>
    <t>$FluxA</t>
  </si>
  <si>
    <t>$FluxB</t>
  </si>
  <si>
    <t>SofteningPointRBInfluence</t>
  </si>
  <si>
    <t>B0CCC888-0004-0002-0000-000000000000</t>
  </si>
  <si>
    <t>EinheitId</t>
  </si>
  <si>
    <t>s</t>
  </si>
  <si>
    <t>Plant1cnt.ST.A</t>
  </si>
  <si>
    <t>Plant1cnt.ST.B</t>
  </si>
  <si>
    <t>Plant1cnt.ST.C</t>
  </si>
  <si>
    <t>Plant1cnt.ST.D</t>
  </si>
  <si>
    <t>FAF00000-0004-0000-0000-000000000000</t>
  </si>
  <si>
    <t>FAF00000-0005-0000-0000-000000000000</t>
  </si>
  <si>
    <t>FAF00000-0006-0000-0000-000000000000</t>
  </si>
  <si>
    <t>FAF00000-0007-0000-0000-000000000000</t>
  </si>
  <si>
    <t>ABC123</t>
  </si>
  <si>
    <t>ABC124</t>
  </si>
  <si>
    <t>ABC125</t>
  </si>
  <si>
    <t>ABC126</t>
  </si>
  <si>
    <t>B0FA0FAF-0004-0000-0000-000000000000</t>
  </si>
  <si>
    <t>B0FA0FAF-0005-0000-0000-000000000000</t>
  </si>
  <si>
    <t>B0FA0FAF-0006-0000-0000-000000000000</t>
  </si>
  <si>
    <t>B0FA0FAF-0007-0000-0000-000000000000</t>
  </si>
  <si>
    <t>EnableBindingAgent</t>
  </si>
  <si>
    <t>EBHorizonEnd</t>
  </si>
  <si>
    <t>LBHorizonEnd</t>
  </si>
  <si>
    <t>PlaningGap</t>
  </si>
  <si>
    <t>$Kipper4T</t>
  </si>
  <si>
    <t>$Kipper 4T Kap</t>
  </si>
  <si>
    <t>$Scania-1</t>
  </si>
  <si>
    <t>$Scania-2</t>
  </si>
  <si>
    <t>$Scania-3</t>
  </si>
  <si>
    <t>TFactProductionDetail</t>
  </si>
  <si>
    <t>9E37DCC1-3098-463B-A826-F5EB0ACACB19</t>
  </si>
  <si>
    <t>B0FFFBEE-0001-0002-0000-000000000000</t>
  </si>
  <si>
    <t>B0FFFBEE-0002-0002-0000-000000000000</t>
  </si>
  <si>
    <t>B0FFFBEE-0003-0002-0000-000000000000</t>
  </si>
  <si>
    <t>B0FFFBEE-0004-0002-0000-000000000000</t>
  </si>
  <si>
    <t>B0FFFBEE-0005-0002-0000-000000000000</t>
  </si>
  <si>
    <t>$Kipper10T</t>
  </si>
  <si>
    <t>$Kipper 10T Kap</t>
  </si>
  <si>
    <t>$FM3T</t>
  </si>
  <si>
    <t>$Fahrmischer 3T Kap</t>
  </si>
  <si>
    <t>$Kipper6T</t>
  </si>
  <si>
    <t>$Kipper 6T Kap</t>
  </si>
  <si>
    <t>$Kipper15T</t>
  </si>
  <si>
    <t>$Kipper 15T Kap</t>
  </si>
  <si>
    <t>SiteSummary</t>
  </si>
  <si>
    <t>MyWerk, MyWerk; Teststreet; TestTown; 1234</t>
  </si>
  <si>
    <t>EFA00000-9999-0000-0000-000000000000</t>
  </si>
  <si>
    <t>00-AS1 Control system</t>
  </si>
  <si>
    <t>01-Cold Feeders</t>
  </si>
  <si>
    <t>EFA00000-0001-0001-0001-000000000000</t>
  </si>
  <si>
    <t>01-Cold Feed collector</t>
  </si>
  <si>
    <t>02-Dryer</t>
  </si>
  <si>
    <t>03-Dust Collector</t>
  </si>
  <si>
    <t>04-Mixing Plant</t>
  </si>
  <si>
    <t>05-Filler Supply</t>
  </si>
  <si>
    <t>06-Hot Storage</t>
  </si>
  <si>
    <t>07-Load Container</t>
  </si>
  <si>
    <t>EFA00000-0001-0008-0000-000000000000</t>
  </si>
  <si>
    <t>08-Bitumen Supply</t>
  </si>
  <si>
    <t>EFA00000-0001-0009-0000-000000000000</t>
  </si>
  <si>
    <t>09-Rap System</t>
  </si>
  <si>
    <t>EFA00000-0001-0010-0000-000000000000</t>
  </si>
  <si>
    <t>10-Foam Unit</t>
  </si>
  <si>
    <t>EFA00000-0001-0011-0000-000000000000</t>
  </si>
  <si>
    <t>11-Oil Injection</t>
  </si>
  <si>
    <t>EFA00000-0001-0012-0000-000000000000</t>
  </si>
  <si>
    <t>12-Slinger Belt</t>
  </si>
  <si>
    <t>B0EFAEFA-0008-0000-0000-000000000000</t>
  </si>
  <si>
    <t>B0EFAEFA-0009-0000-0000-000000000000</t>
  </si>
  <si>
    <t>B0EFAEFA-0010-0000-0000-000000000000</t>
  </si>
  <si>
    <t>B0EFAEFA-0011-0000-0000-000000000000</t>
  </si>
  <si>
    <t>B0EFAEFA-0012-0000-0000-000000000000</t>
  </si>
  <si>
    <t>B0EFAEFA-0013-0000-0000-000000000000</t>
  </si>
  <si>
    <t>B0EFAEFA-0014-0000-0000-000000000000</t>
  </si>
  <si>
    <t>EFB00000-0000-0001-0000-000000000000</t>
  </si>
  <si>
    <t>As1 Test Task</t>
  </si>
  <si>
    <t>EFB00000-0001-0001-0000-000000000000</t>
  </si>
  <si>
    <t>CF01</t>
  </si>
  <si>
    <t>Inspect supply points</t>
  </si>
  <si>
    <t>EFB00000-0001-0002-0000-000000000000</t>
  </si>
  <si>
    <t>CF02</t>
  </si>
  <si>
    <t>Inspect the run of the feed belts</t>
  </si>
  <si>
    <t>EFB00000-0001-0003-0000-000000000000</t>
  </si>
  <si>
    <t>CF03</t>
  </si>
  <si>
    <t>Inspect the tension of the feed belts</t>
  </si>
  <si>
    <t>EFB00000-0001-0004-0000-000000000000</t>
  </si>
  <si>
    <t>CF04</t>
  </si>
  <si>
    <t>Inspect the scraper</t>
  </si>
  <si>
    <t>EFB00000-0001-0005-0000-000000000000</t>
  </si>
  <si>
    <t>CF05</t>
  </si>
  <si>
    <t>Inspect seals on the side of the material guide</t>
  </si>
  <si>
    <t>EFB00000-0001-0006-0000-000000000000</t>
  </si>
  <si>
    <t>CF06</t>
  </si>
  <si>
    <t>Inspect the rollers</t>
  </si>
  <si>
    <t>EFB00000-0001-0007-0000-000000000000</t>
  </si>
  <si>
    <t>CF07</t>
  </si>
  <si>
    <t>Inspect the feed point</t>
  </si>
  <si>
    <t>EFB00000-0001-0008-0000-000000000000</t>
  </si>
  <si>
    <t>CF08</t>
  </si>
  <si>
    <t>Inspect the drives</t>
  </si>
  <si>
    <t>EFB00000-0001-0009-0000-000000000000</t>
  </si>
  <si>
    <t>CF09</t>
  </si>
  <si>
    <t>Inspect the bin vibrators</t>
  </si>
  <si>
    <t>EFB00000-0001-0010-0000-000000000000</t>
  </si>
  <si>
    <t>CF10</t>
  </si>
  <si>
    <t>Calibrate Feeders</t>
  </si>
  <si>
    <t>EFB00000-0001-0011-0000-000000000000</t>
  </si>
  <si>
    <t>CF11</t>
  </si>
  <si>
    <t>Grease Bearings</t>
  </si>
  <si>
    <t>EFB00000-0001-0012-0000-000000000000</t>
  </si>
  <si>
    <t>CF12</t>
  </si>
  <si>
    <t xml:space="preserve">Grease motor </t>
  </si>
  <si>
    <t>EFB00000-00C1-0001-0000-000000000000</t>
  </si>
  <si>
    <t>CFC01</t>
  </si>
  <si>
    <t xml:space="preserve">Inspect supply points </t>
  </si>
  <si>
    <t>EFB00000-00C1-0002-0000-000000000000</t>
  </si>
  <si>
    <t>CFC02</t>
  </si>
  <si>
    <t>Control the belt run</t>
  </si>
  <si>
    <t>EFB00000-00C1-0003-0000-000000000000</t>
  </si>
  <si>
    <t>CFC03</t>
  </si>
  <si>
    <t>Inspect the tension and the directionof the belts</t>
  </si>
  <si>
    <t>EFB00000-00C1-0004-0000-000000000000</t>
  </si>
  <si>
    <t>CFC04</t>
  </si>
  <si>
    <t>Inspect the Scraper and dirt trap</t>
  </si>
  <si>
    <t>EFB00000-00C1-0005-0000-000000000000</t>
  </si>
  <si>
    <t>CFC05</t>
  </si>
  <si>
    <t>Inspect the seals on the side of the material guide</t>
  </si>
  <si>
    <t>EFB00000-00C1-0006-0000-000000000000</t>
  </si>
  <si>
    <t>CFC06</t>
  </si>
  <si>
    <t>EFB00000-00C1-0007-0000-000000000000</t>
  </si>
  <si>
    <t>CFC07</t>
  </si>
  <si>
    <t>Inspect the transfer points</t>
  </si>
  <si>
    <t>EFB00000-00C1-0008-0000-000000000000</t>
  </si>
  <si>
    <t>CFC08</t>
  </si>
  <si>
    <t>EFB00000-00C1-0009-0000-000000000000</t>
  </si>
  <si>
    <t>CFC09</t>
  </si>
  <si>
    <t>Grease bearings</t>
  </si>
  <si>
    <t>EFB00000-00C1-0010-0000-000000000000</t>
  </si>
  <si>
    <t>CFC10</t>
  </si>
  <si>
    <t>Grease motor</t>
  </si>
  <si>
    <t>EFB00000-0002-0001-0000-000000000000</t>
  </si>
  <si>
    <t>DR01</t>
  </si>
  <si>
    <t>EFB00000-0002-0002-0000-000000000000</t>
  </si>
  <si>
    <t>Grease Motors</t>
  </si>
  <si>
    <t>EFB00000-0002-0003-0000-000000000000</t>
  </si>
  <si>
    <t>DR03</t>
  </si>
  <si>
    <t>Grease Drive Bearings</t>
  </si>
  <si>
    <t>EFB00000-0002-0004-0000-000000000000</t>
  </si>
  <si>
    <t>DR04</t>
  </si>
  <si>
    <t>Clean transfer points</t>
  </si>
  <si>
    <t>EFB00000-0002-0005-0000-000000000000</t>
  </si>
  <si>
    <t>DR05</t>
  </si>
  <si>
    <t>Check Bearings</t>
  </si>
  <si>
    <t>EFB00000-0002-0006-0000-000000000000</t>
  </si>
  <si>
    <t>DR06</t>
  </si>
  <si>
    <t>Check drum pipe</t>
  </si>
  <si>
    <t>EFB00000-0002-0007-0000-000000000000</t>
  </si>
  <si>
    <t>DR07</t>
  </si>
  <si>
    <t>Check low pressure sensor</t>
  </si>
  <si>
    <t>EFB00000-0002-0008-0000-000000000000</t>
  </si>
  <si>
    <t>DR08</t>
  </si>
  <si>
    <t>Check temperature sensor</t>
  </si>
  <si>
    <t>EFB00000-0002-0009-0000-000000000000</t>
  </si>
  <si>
    <t>DR09</t>
  </si>
  <si>
    <t>Check lifters</t>
  </si>
  <si>
    <t>EFB00000-0002-0010-0000-000000000000</t>
  </si>
  <si>
    <t>DR10</t>
  </si>
  <si>
    <t>Measure wall thickness</t>
  </si>
  <si>
    <t>EFB00000-0002-0011-0000-000000000000</t>
  </si>
  <si>
    <t>DR11</t>
  </si>
  <si>
    <t>Check plant controller</t>
  </si>
  <si>
    <t>EFB00000-0002-0012-0000-000000000000</t>
  </si>
  <si>
    <t>DR12</t>
  </si>
  <si>
    <t>Check electrical components</t>
  </si>
  <si>
    <t>EFB00000-0002-0013-0000-000000000000</t>
  </si>
  <si>
    <t>DR13</t>
  </si>
  <si>
    <t>Check bearing rings and rolls</t>
  </si>
  <si>
    <t>EFB00000-0003-0001-0000-000000000000</t>
  </si>
  <si>
    <t>DC01</t>
  </si>
  <si>
    <t>Grease Non drive screw bearing</t>
  </si>
  <si>
    <t>EFB00000-0003-0002-0000-000000000000</t>
  </si>
  <si>
    <t>DC02</t>
  </si>
  <si>
    <t>Grease Drive end screw bearing</t>
  </si>
  <si>
    <t>EFB00000-0003-0003-0000-000000000000</t>
  </si>
  <si>
    <t>DC03</t>
  </si>
  <si>
    <t>Grease screw motor</t>
  </si>
  <si>
    <t>EFB00000-0003-0004-0000-000000000000</t>
  </si>
  <si>
    <t>DC04</t>
  </si>
  <si>
    <t>Grease Fan bearing</t>
  </si>
  <si>
    <t>EFB00000-0003-0005-0000-000000000000</t>
  </si>
  <si>
    <t>DC05</t>
  </si>
  <si>
    <t>Inspect Filter Bags</t>
  </si>
  <si>
    <t>EFB00000-0003-0006-0000-000000000000</t>
  </si>
  <si>
    <t>DC06</t>
  </si>
  <si>
    <t>Check Fan</t>
  </si>
  <si>
    <t>EFB00000-0003-0007-0000-000000000000</t>
  </si>
  <si>
    <t>DC07</t>
  </si>
  <si>
    <t>Check Swirl Controller</t>
  </si>
  <si>
    <t>EFB00000-0003-0008-0000-000000000000</t>
  </si>
  <si>
    <t>DC08</t>
  </si>
  <si>
    <t>Check shuttle valves</t>
  </si>
  <si>
    <t>EFB00000-0003-0009-0000-000000000000</t>
  </si>
  <si>
    <t>DC09</t>
  </si>
  <si>
    <t>Check the brake shoes</t>
  </si>
  <si>
    <t>EFB00000-0003-0010-0000-000000000000</t>
  </si>
  <si>
    <t>DC10</t>
  </si>
  <si>
    <t>Check air flush nozzle</t>
  </si>
  <si>
    <t>EFB00000-0003-0011-0000-000000000000</t>
  </si>
  <si>
    <t>DC11</t>
  </si>
  <si>
    <t>Check seconday air flap</t>
  </si>
  <si>
    <t>EFB00000-0003-0012-0000-000000000000</t>
  </si>
  <si>
    <t>DC12</t>
  </si>
  <si>
    <t>Check end bearings on screw</t>
  </si>
  <si>
    <t>EFB00000-0003-0013-0000-000000000000</t>
  </si>
  <si>
    <t>DC13</t>
  </si>
  <si>
    <t xml:space="preserve">Clean and check v-belts </t>
  </si>
  <si>
    <t>EFB00000-0003-0014-0000-000000000000</t>
  </si>
  <si>
    <t>DC14</t>
  </si>
  <si>
    <t xml:space="preserve">Check and clean fan flywheel </t>
  </si>
  <si>
    <t>EFB00000-0003-0015-0000-000000000000</t>
  </si>
  <si>
    <t>DC15</t>
  </si>
  <si>
    <t>Check v-belt for wear and tension</t>
  </si>
  <si>
    <t>EFB00000-0003-0016-0000-000000000000</t>
  </si>
  <si>
    <t>DC16</t>
  </si>
  <si>
    <t>Check the bearings for wear and lubrication</t>
  </si>
  <si>
    <t>EFB00000-0003-0017-0000-000000000000</t>
  </si>
  <si>
    <t>DC17</t>
  </si>
  <si>
    <t>Check Screw conveyor</t>
  </si>
  <si>
    <t>EFB00000-0004-0001-0000-000000000000</t>
  </si>
  <si>
    <t>MX01</t>
  </si>
  <si>
    <t>Test Mixing Task</t>
  </si>
  <si>
    <t>EFB00000-0005-0001-0000-000000000000</t>
  </si>
  <si>
    <t>FS01</t>
  </si>
  <si>
    <t>Test Filler Task</t>
  </si>
  <si>
    <t>EFB00000-0006-0001-0000-000000000000</t>
  </si>
  <si>
    <t>HS01</t>
  </si>
  <si>
    <t>Test Hot Storage</t>
  </si>
  <si>
    <t>EFB00000-0007-0001-0000-000000000000</t>
  </si>
  <si>
    <t>MCC01</t>
  </si>
  <si>
    <t>Test Load Container Task</t>
  </si>
  <si>
    <t>EFB00000-0008-0001-0000-000000000000</t>
  </si>
  <si>
    <t>BS01</t>
  </si>
  <si>
    <t>Test Bitumen Supply Task</t>
  </si>
  <si>
    <t>EFB00000-0009-0001-0000-000000000000</t>
  </si>
  <si>
    <t>RA01</t>
  </si>
  <si>
    <t>Test RAP Task</t>
  </si>
  <si>
    <t>EFB00000-0010-0001-0000-000000000000</t>
  </si>
  <si>
    <t>FM01</t>
  </si>
  <si>
    <t>Inspect Pipe Heating</t>
  </si>
  <si>
    <t>EFB00000-0010-0002-0000-000000000000</t>
  </si>
  <si>
    <t>FM02</t>
  </si>
  <si>
    <t>Inspect Shut off valve</t>
  </si>
  <si>
    <t>EFB00000-0010-0003-0000-000000000000</t>
  </si>
  <si>
    <t>FM03</t>
  </si>
  <si>
    <t>Inspect water nozzles</t>
  </si>
  <si>
    <t>EFB00000-0010-0004-0000-000000000000</t>
  </si>
  <si>
    <t>FM04</t>
  </si>
  <si>
    <t>Check bitumen meter</t>
  </si>
  <si>
    <t>EFB00000-0011-0001-0000-000000000000</t>
  </si>
  <si>
    <t>OI01</t>
  </si>
  <si>
    <t>Check Pumps</t>
  </si>
  <si>
    <t>EFB00000-0011-0002-0000-000000000000</t>
  </si>
  <si>
    <t>OI02</t>
  </si>
  <si>
    <t xml:space="preserve">Check Ball Valves </t>
  </si>
  <si>
    <t>EFB00000-0011-0003-0000-000000000000</t>
  </si>
  <si>
    <t>OI03</t>
  </si>
  <si>
    <t>Check Material Monitor</t>
  </si>
  <si>
    <t>EFB00000-0011-0004-0000-000000000000</t>
  </si>
  <si>
    <t>OI04</t>
  </si>
  <si>
    <t>Check Tank</t>
  </si>
  <si>
    <t>EFB00000-0011-0005-0000-000000000000</t>
  </si>
  <si>
    <t>OI05</t>
  </si>
  <si>
    <t>Check Pipelines</t>
  </si>
  <si>
    <t>EFB00000-0011-0006-0000-000000000000</t>
  </si>
  <si>
    <t>OI06</t>
  </si>
  <si>
    <t>Check Flow Meter</t>
  </si>
  <si>
    <t>EFB00000-0011-0007-0000-000000000000</t>
  </si>
  <si>
    <t>OI07</t>
  </si>
  <si>
    <t>Check Pressure Compensator vessel</t>
  </si>
  <si>
    <t>EFB00000-0012-0001-0000-000000000000</t>
  </si>
  <si>
    <t>SB01</t>
  </si>
  <si>
    <t>Check Belt tracking</t>
  </si>
  <si>
    <t>EFB00000-0012-0002-0000-000000000000</t>
  </si>
  <si>
    <t>SB02</t>
  </si>
  <si>
    <t>Inspect Tension and Direction of belt</t>
  </si>
  <si>
    <t>EFB00000-0012-0003-0000-000000000000</t>
  </si>
  <si>
    <t>SB03</t>
  </si>
  <si>
    <t>Inspect Scraper and dirt trap</t>
  </si>
  <si>
    <t>EFB00000-0012-0004-0000-000000000000</t>
  </si>
  <si>
    <t>SB04</t>
  </si>
  <si>
    <t>EFB00000-0012-0005-0000-000000000000</t>
  </si>
  <si>
    <t>SB05</t>
  </si>
  <si>
    <t>EFB00000-0012-0006-0000-000000000000</t>
  </si>
  <si>
    <t>SB06</t>
  </si>
  <si>
    <t xml:space="preserve">Inspect Transfer Hood </t>
  </si>
  <si>
    <t>EFB00000-0012-0007-0000-000000000000</t>
  </si>
  <si>
    <t>SB07</t>
  </si>
  <si>
    <t>AufwandSoll</t>
  </si>
  <si>
    <t>Every 1 year</t>
  </si>
  <si>
    <t>Daily</t>
  </si>
  <si>
    <t>Weekly</t>
  </si>
  <si>
    <t>Monthly</t>
  </si>
  <si>
    <t>6 month</t>
  </si>
  <si>
    <t>year</t>
  </si>
  <si>
    <t>Yearly</t>
  </si>
  <si>
    <t>EFC00000-0001-0001-0000-000000000000</t>
  </si>
  <si>
    <t>Mon2Fri</t>
  </si>
  <si>
    <t>EFC00000-0001-0002-0000-000000000000</t>
  </si>
  <si>
    <t>EFC00000-0001-0003-0000-000000000000</t>
  </si>
  <si>
    <t>WkMon</t>
  </si>
  <si>
    <t>EFC00000-0001-0004-0000-000000000000</t>
  </si>
  <si>
    <t>EFC00000-0001-0005-0000-000000000000</t>
  </si>
  <si>
    <t>EFC00000-0001-0006-0000-000000000000</t>
  </si>
  <si>
    <t>EFC00000-0001-0007-0000-000000000000</t>
  </si>
  <si>
    <t>EFC00000-0001-0008-0000-000000000000</t>
  </si>
  <si>
    <t>EFC00000-0001-0009-0000-000000000000</t>
  </si>
  <si>
    <t>EFC00000-0001-0010-0000-000000000000</t>
  </si>
  <si>
    <t>6Monthly</t>
  </si>
  <si>
    <t>EFC00000-0001-0011-0000-000000000000</t>
  </si>
  <si>
    <t>EFC00000-0001-0012-0000-000000000000</t>
  </si>
  <si>
    <t>EFC00000-00C1-0001-0000-000000000000</t>
  </si>
  <si>
    <t>EFC00000-00C1-0002-0000-000000000000</t>
  </si>
  <si>
    <t>WkWed</t>
  </si>
  <si>
    <t>EFC00000-00C1-0003-0000-000000000000</t>
  </si>
  <si>
    <t>EFC00000-00C1-0004-0000-000000000000</t>
  </si>
  <si>
    <t>EFC00000-00C1-0005-0000-000000000000</t>
  </si>
  <si>
    <t>WkFri</t>
  </si>
  <si>
    <t>EFC00000-00C1-0006-0000-000000000000</t>
  </si>
  <si>
    <t>EFC00000-00C1-0007-0000-000000000000</t>
  </si>
  <si>
    <t>EFC00000-00C1-0008-0000-000000000000</t>
  </si>
  <si>
    <t>EFC00000-00C1-0009-0000-000000000000</t>
  </si>
  <si>
    <t>EFC00000-00C1-0010-0000-000000000000</t>
  </si>
  <si>
    <t>EFC00000-0002-0001-0000-000000000000</t>
  </si>
  <si>
    <t>EFC00000-0002-0002-0000-000000000000</t>
  </si>
  <si>
    <t>EFC00000-0002-0003-0000-000000000000</t>
  </si>
  <si>
    <t>EFC00000-0002-0004-0000-000000000000</t>
  </si>
  <si>
    <t>EFC00000-0002-0005-0000-000000000000</t>
  </si>
  <si>
    <t>EFC00000-0002-0006-0000-000000000000</t>
  </si>
  <si>
    <t>EFC00000-0002-0007-0000-000000000000</t>
  </si>
  <si>
    <t>EFC00000-0002-0008-0000-000000000000</t>
  </si>
  <si>
    <t>EFC00000-0002-0009-0000-000000000000</t>
  </si>
  <si>
    <t>EFC00000-0002-0010-0000-000000000000</t>
  </si>
  <si>
    <t>EFC00000-0002-0011-0000-000000000000</t>
  </si>
  <si>
    <t>EFC00000-0002-0012-0000-000000000000</t>
  </si>
  <si>
    <t>EFC00000-0002-0013-0000-000000000000</t>
  </si>
  <si>
    <t>EFC00000-0003-0001-0000-000000000000</t>
  </si>
  <si>
    <t>EFC00000-0003-0002-0000-000000000000</t>
  </si>
  <si>
    <t>EFC00000-0003-0003-0000-000000000000</t>
  </si>
  <si>
    <t>EFC00000-0003-0004-0000-000000000000</t>
  </si>
  <si>
    <t>EFC00000-0003-0005-0000-000000000000</t>
  </si>
  <si>
    <t>EFC00000-0003-0006-0000-000000000000</t>
  </si>
  <si>
    <t>EFC00000-0003-0007-0000-000000000000</t>
  </si>
  <si>
    <t>EFC00000-0003-0008-0000-000000000000</t>
  </si>
  <si>
    <t>EFC00000-0003-0009-0000-000000000000</t>
  </si>
  <si>
    <t>EFC00000-0003-0010-0000-000000000000</t>
  </si>
  <si>
    <t>EFC00000-0003-0011-0000-000000000000</t>
  </si>
  <si>
    <t>EFC00000-0003-0012-0000-000000000000</t>
  </si>
  <si>
    <t>EFC00000-0003-0013-0000-000000000000</t>
  </si>
  <si>
    <t>EFC00000-0003-0014-0000-000000000000</t>
  </si>
  <si>
    <t>EFC00000-0003-0015-0000-000000000000</t>
  </si>
  <si>
    <t>EFC00000-0003-0016-0000-000000000000</t>
  </si>
  <si>
    <t>EFC00000-0003-0017-0000-000000000000</t>
  </si>
  <si>
    <t>EFC00000-0004-0001-0000-000000000000</t>
  </si>
  <si>
    <t>EFC00000-0005-0001-0000-000000000000</t>
  </si>
  <si>
    <t>EFC00000-0006-0001-0000-000000000000</t>
  </si>
  <si>
    <t>EFC00000-0007-0001-0000-000000000000</t>
  </si>
  <si>
    <t>EFC00000-0008-0001-0000-000000000000</t>
  </si>
  <si>
    <t>EFC00000-0009-0001-0000-000000000000</t>
  </si>
  <si>
    <t>EFC00000-0010-0001-0000-000000000000</t>
  </si>
  <si>
    <t>EFC00000-0010-0002-0000-000000000000</t>
  </si>
  <si>
    <t>EFC00000-0010-0003-0000-000000000000</t>
  </si>
  <si>
    <t>EFC00000-0010-0004-0000-000000000000</t>
  </si>
  <si>
    <t>EFC00000-0011-0001-0000-000000000000</t>
  </si>
  <si>
    <t>EFC00000-0011-0002-0000-000000000000</t>
  </si>
  <si>
    <t>EFC00000-0011-0003-0000-000000000000</t>
  </si>
  <si>
    <t>EFC00000-0011-0004-0000-000000000000</t>
  </si>
  <si>
    <t>EFC00000-0011-0005-0000-000000000000</t>
  </si>
  <si>
    <t>EFC00000-0011-0006-0000-000000000000</t>
  </si>
  <si>
    <t>EFC00000-0011-0007-0000-000000000000</t>
  </si>
  <si>
    <t>EFC00000-0012-0001-0000-000000000000</t>
  </si>
  <si>
    <t>EFC00000-0012-0002-0000-000000000000</t>
  </si>
  <si>
    <t>EFC00000-0012-0003-0000-000000000000</t>
  </si>
  <si>
    <t>EFC00000-0012-0004-0000-000000000000</t>
  </si>
  <si>
    <t>EFC00000-0012-0005-0000-000000000000</t>
  </si>
  <si>
    <t>EFC00000-0012-0006-0000-000000000000</t>
  </si>
  <si>
    <t>EFC00000-0012-0007-0000-000000000000</t>
  </si>
  <si>
    <t>F</t>
  </si>
  <si>
    <t>exec PNotifyObservers 'WartungsTask', '254', 'TWartungsTask', '{EFB00000-0000-0001-0000-000000000000}', 'Intervall'</t>
  </si>
  <si>
    <t>exec PNotifyObservers 'WartungsTask', '254', 'TWartungsTask', '{EFB00000-0001-0001-0000-000000000000}', 'Intervall'</t>
  </si>
  <si>
    <t>exec PNotifyObservers 'WartungsTask', '254', 'TWartungsTask', '{EFB00000-0001-0002-0000-000000000000}', 'Intervall'</t>
  </si>
  <si>
    <t>exec PNotifyObservers 'WartungsTask', '254', 'TWartungsTask', '{EFB00000-0001-0003-0000-000000000000}', 'Intervall'</t>
  </si>
  <si>
    <t>exec PNotifyObservers 'WartungsTask', '254', 'TWartungsTask', '{EFB00000-0001-0004-0000-000000000000}', 'Intervall'</t>
  </si>
  <si>
    <t>exec PNotifyObservers 'WartungsTask', '254', 'TWartungsTask', '{EFB00000-0001-0005-0000-000000000000}', 'Intervall'</t>
  </si>
  <si>
    <t>exec PNotifyObservers 'WartungsTask', '254', 'TWartungsTask', '{EFB00000-0001-0006-0000-000000000000}', 'Intervall'</t>
  </si>
  <si>
    <t>exec PNotifyObservers 'WartungsTask', '254', 'TWartungsTask', '{EFB00000-0001-0007-0000-000000000000}', 'Intervall'</t>
  </si>
  <si>
    <t>exec PNotifyObservers 'WartungsTask', '254', 'TWartungsTask', '{EFB00000-0001-0008-0000-000000000000}', 'Intervall'</t>
  </si>
  <si>
    <t>exec PNotifyObservers 'WartungsTask', '254', 'TWartungsTask', '{EFB00000-0001-0009-0000-000000000000}', 'Intervall'</t>
  </si>
  <si>
    <t>exec PNotifyObservers 'WartungsTask', '254', 'TWartungsTask', '{EFB00000-0001-0010-0000-000000000000}', 'Intervall'</t>
  </si>
  <si>
    <t>exec PNotifyObservers 'WartungsTask', '254', 'TWartungsTask', '{EFB00000-0001-0011-0000-000000000000}', 'Intervall'</t>
  </si>
  <si>
    <t>exec PNotifyObservers 'WartungsTask', '254', 'TWartungsTask', '{EFB00000-0001-0012-0000-000000000000}', 'Intervall'</t>
  </si>
  <si>
    <t>exec PNotifyObservers 'WartungsTask', '254', 'TWartungsTask', '{EFB00000-00C1-0001-0000-000000000000}', 'Intervall'</t>
  </si>
  <si>
    <t>exec PNotifyObservers 'WartungsTask', '254', 'TWartungsTask', '{EFB00000-00C1-0002-0000-000000000000}', 'Intervall'</t>
  </si>
  <si>
    <t>exec PNotifyObservers 'WartungsTask', '254', 'TWartungsTask', '{EFB00000-00C1-0003-0000-000000000000}', 'Intervall'</t>
  </si>
  <si>
    <t>exec PNotifyObservers 'WartungsTask', '254', 'TWartungsTask', '{EFB00000-00C1-0004-0000-000000000000}', 'Intervall'</t>
  </si>
  <si>
    <t>exec PNotifyObservers 'WartungsTask', '254', 'TWartungsTask', '{EFB00000-00C1-0005-0000-000000000000}', 'Intervall'</t>
  </si>
  <si>
    <t>exec PNotifyObservers 'WartungsTask', '254', 'TWartungsTask', '{EFB00000-00C1-0006-0000-000000000000}', 'Intervall'</t>
  </si>
  <si>
    <t>exec PNotifyObservers 'WartungsTask', '254', 'TWartungsTask', '{EFB00000-00C1-0007-0000-000000000000}', 'Intervall'</t>
  </si>
  <si>
    <t>exec PNotifyObservers 'WartungsTask', '254', 'TWartungsTask', '{EFB00000-00C1-0008-0000-000000000000}', 'Intervall'</t>
  </si>
  <si>
    <t>exec PNotifyObservers 'WartungsTask', '254', 'TWartungsTask', '{EFB00000-00C1-0009-0000-000000000000}', 'Intervall'</t>
  </si>
  <si>
    <t>exec PNotifyObservers 'WartungsTask', '254', 'TWartungsTask', '{EFB00000-00C1-0010-0000-000000000000}', 'Intervall'</t>
  </si>
  <si>
    <t>exec PNotifyObservers 'WartungsTask', '254', 'TWartungsTask', '{EFB00000-0002-0001-0000-000000000000}', 'Intervall'</t>
  </si>
  <si>
    <t>exec PNotifyObservers 'WartungsTask', '254', 'TWartungsTask', '{EFB00000-0002-0002-0000-000000000000}', 'Intervall'</t>
  </si>
  <si>
    <t>exec PNotifyObservers 'WartungsTask', '254', 'TWartungsTask', '{EFB00000-0002-0003-0000-000000000000}', 'Intervall'</t>
  </si>
  <si>
    <t>exec PNotifyObservers 'WartungsTask', '254', 'TWartungsTask', '{EFB00000-0002-0004-0000-000000000000}', 'Intervall'</t>
  </si>
  <si>
    <t>exec PNotifyObservers 'WartungsTask', '254', 'TWartungsTask', '{EFB00000-0002-0005-0000-000000000000}', 'Intervall'</t>
  </si>
  <si>
    <t>exec PNotifyObservers 'WartungsTask', '254', 'TWartungsTask', '{EFB00000-0002-0006-0000-000000000000}', 'Intervall'</t>
  </si>
  <si>
    <t>exec PNotifyObservers 'WartungsTask', '254', 'TWartungsTask', '{EFB00000-0002-0007-0000-000000000000}', 'Intervall'</t>
  </si>
  <si>
    <t>exec PNotifyObservers 'WartungsTask', '254', 'TWartungsTask', '{EFB00000-0002-0008-0000-000000000000}', 'Intervall'</t>
  </si>
  <si>
    <t>exec PNotifyObservers 'WartungsTask', '254', 'TWartungsTask', '{EFB00000-0002-0009-0000-000000000000}', 'Intervall'</t>
  </si>
  <si>
    <t>exec PNotifyObservers 'WartungsTask', '254', 'TWartungsTask', '{EFB00000-0002-0010-0000-000000000000}', 'Intervall'</t>
  </si>
  <si>
    <t>exec PNotifyObservers 'WartungsTask', '254', 'TWartungsTask', '{EFB00000-0002-0011-0000-000000000000}', 'Intervall'</t>
  </si>
  <si>
    <t>exec PNotifyObservers 'WartungsTask', '254', 'TWartungsTask', '{EFB00000-0002-0012-0000-000000000000}', 'Intervall'</t>
  </si>
  <si>
    <t>exec PNotifyObservers 'WartungsTask', '254', 'TWartungsTask', '{EFB00000-0002-0013-0000-000000000000}', 'Intervall'</t>
  </si>
  <si>
    <t>exec PNotifyObservers 'WartungsTask', '254', 'TWartungsTask', '{EFB00000-0003-0001-0000-000000000000}', 'Intervall'</t>
  </si>
  <si>
    <t>exec PNotifyObservers 'WartungsTask', '254', 'TWartungsTask', '{EFB00000-0003-0002-0000-000000000000}', 'Intervall'</t>
  </si>
  <si>
    <t>exec PNotifyObservers 'WartungsTask', '254', 'TWartungsTask', '{EFB00000-0003-0003-0000-000000000000}', 'Intervall'</t>
  </si>
  <si>
    <t>exec PNotifyObservers 'WartungsTask', '254', 'TWartungsTask', '{EFB00000-0003-0004-0000-000000000000}', 'Intervall'</t>
  </si>
  <si>
    <t>exec PNotifyObservers 'WartungsTask', '254', 'TWartungsTask', '{EFB00000-0003-0007-0000-000000000000}', 'Intervall'</t>
  </si>
  <si>
    <t>exec PNotifyObservers 'WartungsTask', '254', 'TWartungsTask', '{EFB00000-0003-0008-0000-000000000000}', 'Intervall'</t>
  </si>
  <si>
    <t>exec PNotifyObservers 'WartungsTask', '254', 'TWartungsTask', '{EFB00000-0003-0009-0000-000000000000}', 'Intervall'</t>
  </si>
  <si>
    <t>exec PNotifyObservers 'WartungsTask', '254', 'TWartungsTask', '{EFB00000-0003-0010-0000-000000000000}', 'Intervall'</t>
  </si>
  <si>
    <t>exec PNotifyObservers 'WartungsTask', '254', 'TWartungsTask', '{EFB00000-0003-0011-0000-000000000000}', 'Intervall'</t>
  </si>
  <si>
    <t>exec PNotifyObservers 'WartungsTask', '254', 'TWartungsTask', '{EFB00000-0003-0012-0000-000000000000}', 'Intervall'</t>
  </si>
  <si>
    <t>exec PNotifyObservers 'WartungsTask', '254', 'TWartungsTask', '{EFB00000-0003-0013-0000-000000000000}', 'Intervall'</t>
  </si>
  <si>
    <t>exec PNotifyObservers 'WartungsTask', '254', 'TWartungsTask', '{EFB00000-0003-0014-0000-000000000000}', 'Intervall'</t>
  </si>
  <si>
    <t>exec PNotifyObservers 'WartungsTask', '254', 'TWartungsTask', '{EFB00000-0003-0015-0000-000000000000}', 'Intervall'</t>
  </si>
  <si>
    <t>exec PNotifyObservers 'WartungsTask', '254', 'TWartungsTask', '{EFB00000-0003-0016-0000-000000000000}', 'Intervall'</t>
  </si>
  <si>
    <t>exec PNotifyObservers 'WartungsTask', '254', 'TWartungsTask', '{EFB00000-0003-0017-0000-000000000000}', 'Intervall'</t>
  </si>
  <si>
    <t>exec PNotifyObservers 'WartungsTask', '254', 'TWartungsTask', '{EFB00000-0004-0001-0000-000000000000}', 'Intervall'</t>
  </si>
  <si>
    <t>exec PNotifyObservers 'WartungsTask', '254', 'TWartungsTask', '{EFB00000-0005-0001-0000-000000000000}', 'Intervall'</t>
  </si>
  <si>
    <t>exec PNotifyObservers 'WartungsTask', '254', 'TWartungsTask', '{EFB00000-0006-0001-0000-000000000000}', 'Intervall'</t>
  </si>
  <si>
    <t>exec PNotifyObservers 'WartungsTask', '254', 'TWartungsTask', '{EFB00000-0007-0001-0000-000000000000}', 'Intervall'</t>
  </si>
  <si>
    <t>exec PNotifyObservers 'WartungsTask', '254', 'TWartungsTask', '{EFB00000-0008-0001-0000-000000000000}', 'Intervall'</t>
  </si>
  <si>
    <t>exec PNotifyObservers 'WartungsTask', '254', 'TWartungsTask', '{EFB00000-0009-0001-0000-000000000000}', 'Intervall'</t>
  </si>
  <si>
    <t>exec PNotifyObservers 'WartungsTask', '254', 'TWartungsTask', '{EFB00000-0010-0001-0000-000000000000}', 'Intervall'</t>
  </si>
  <si>
    <t>exec PNotifyObservers 'WartungsTask', '254', 'TWartungsTask', '{EFB00000-0010-0002-0000-000000000000}', 'Intervall'</t>
  </si>
  <si>
    <t>exec PNotifyObservers 'WartungsTask', '254', 'TWartungsTask', '{EFB00000-0010-0003-0000-000000000000}', 'Intervall'</t>
  </si>
  <si>
    <t>exec PNotifyObservers 'WartungsTask', '254', 'TWartungsTask', '{EFB00000-0010-0004-0000-000000000000}', 'Intervall'</t>
  </si>
  <si>
    <t>exec PNotifyObservers 'WartungsTask', '254', 'TWartungsTask', '{EFB00000-0011-0001-0000-000000000000}', 'Intervall'</t>
  </si>
  <si>
    <t>exec PNotifyObservers 'WartungsTask', '254', 'TWartungsTask', '{EFB00000-0011-0002-0000-000000000000}', 'Intervall'</t>
  </si>
  <si>
    <t>exec PNotifyObservers 'WartungsTask', '254', 'TWartungsTask', '{EFB00000-0011-0003-0000-000000000000}', 'Intervall'</t>
  </si>
  <si>
    <t>exec PNotifyObservers 'WartungsTask', '254', 'TWartungsTask', '{EFB00000-0011-0004-0000-000000000000}', 'Intervall'</t>
  </si>
  <si>
    <t>exec PNotifyObservers 'WartungsTask', '254', 'TWartungsTask', '{EFB00000-0011-0005-0000-000000000000}', 'Intervall'</t>
  </si>
  <si>
    <t>exec PNotifyObservers 'WartungsTask', '254', 'TWartungsTask', '{EFB00000-0011-0006-0000-000000000000}', 'Intervall'</t>
  </si>
  <si>
    <t>exec PNotifyObservers 'WartungsTask', '254', 'TWartungsTask', '{EFB00000-0011-0007-0000-000000000000}', 'Intervall'</t>
  </si>
  <si>
    <t>exec PNotifyObservers 'WartungsTask', '254', 'TWartungsTask', '{EFB00000-0012-0001-0000-000000000000}', 'Intervall'</t>
  </si>
  <si>
    <t>exec PNotifyObservers 'WartungsTask', '254', 'TWartungsTask', '{EFB00000-0012-0002-0000-000000000000}', 'Intervall'</t>
  </si>
  <si>
    <t>exec PNotifyObservers 'WartungsTask', '254', 'TWartungsTask', '{EFB00000-0012-0003-0000-000000000000}', 'Intervall'</t>
  </si>
  <si>
    <t>exec PNotifyObservers 'WartungsTask', '254', 'TWartungsTask', '{EFB00000-0012-0004-0000-000000000000}', 'Intervall'</t>
  </si>
  <si>
    <t>exec PNotifyObservers 'WartungsTask', '254', 'TWartungsTask', '{EFB00000-0012-0005-0000-000000000000}', 'Intervall'</t>
  </si>
  <si>
    <t>exec PNotifyObservers 'WartungsTask', '254', 'TWartungsTask', '{EFB00000-0012-0006-0000-000000000000}', 'Intervall'</t>
  </si>
  <si>
    <t>exec PNotifyObservers 'WartungsTask', '254', 'TWartungsTask', '{EFB00000-0012-0007-0000-000000000000}', 'Intervall'</t>
  </si>
  <si>
    <t>TWartungsHandlung</t>
  </si>
  <si>
    <t>EF9</t>
  </si>
  <si>
    <t>Reihenfolge</t>
  </si>
  <si>
    <t>Link</t>
  </si>
  <si>
    <t>EF900000-0000-0001-0001-000000000000</t>
  </si>
  <si>
    <t>Safety Instructions</t>
  </si>
  <si>
    <t>EF900000-0000-0001-0002-000000000000</t>
  </si>
  <si>
    <t>Job definition</t>
  </si>
  <si>
    <t>Erledigt</t>
  </si>
  <si>
    <t>AS01</t>
  </si>
  <si>
    <t>C:\Public\IMM\Manuals\SafetyInstructions.pdf</t>
  </si>
  <si>
    <t>C:\Public\IMM\Manuals\AS01_EN.pdf</t>
  </si>
  <si>
    <t>BetonXyz</t>
  </si>
  <si>
    <t>934AAE3A-6368-42AA-AB38-997F89BC2311</t>
  </si>
  <si>
    <t>TEinheitMC</t>
  </si>
  <si>
    <t>3F7343C1-41AA-43A6-A306-2006E337F603</t>
  </si>
  <si>
    <t>AAA00000-0003-0000-0000-000000000000</t>
  </si>
  <si>
    <t>Absolut</t>
  </si>
  <si>
    <t>Test.PredictedAbs.Tasks</t>
  </si>
  <si>
    <t>TestCounterPredictedAbsTasks</t>
  </si>
  <si>
    <t>EEC00000-0008-0000-0000-000000000000</t>
  </si>
  <si>
    <t>Test.PredictedInc.Tasks</t>
  </si>
  <si>
    <t>TestCounterPredictedIncTasks</t>
  </si>
  <si>
    <t>EFE00000-0007-0000-0000-000000000000</t>
  </si>
  <si>
    <t>EFD00000-0007-0000-0000-000000000000</t>
  </si>
  <si>
    <t>B0EFBEFD-0006-0000-0000-000000000000</t>
  </si>
  <si>
    <t>B0EFBEFD-0007-0000-0000-000000000000</t>
  </si>
  <si>
    <t>DA100000-0002-0000-0000-000000000000</t>
  </si>
  <si>
    <t>Test Log for Abs Event Tasks</t>
  </si>
  <si>
    <t>Test Log for Inc Event Tasks</t>
  </si>
  <si>
    <t>Incremental</t>
  </si>
  <si>
    <t>delete from TDataSample where
TDataLog in ( 'DA100000-0001-0000-0000-000000000000',  'DA100000-0002-0000-0000-000000000000' )</t>
  </si>
  <si>
    <t>EFB00000-0000-0002-0000-000000000000</t>
  </si>
  <si>
    <t>EFB00000-0000-0003-0000-000000000000</t>
  </si>
  <si>
    <t>AS02</t>
  </si>
  <si>
    <t>AS03</t>
  </si>
  <si>
    <t>As1 Test Predicted Inc</t>
  </si>
  <si>
    <t>As1 Test Predicted Abs</t>
  </si>
  <si>
    <t>O</t>
  </si>
  <si>
    <t>TConcreteConsistencyNorm</t>
  </si>
  <si>
    <t>CC1</t>
  </si>
  <si>
    <t>CC2</t>
  </si>
  <si>
    <t>CC3</t>
  </si>
  <si>
    <t>CC4</t>
  </si>
  <si>
    <t>TConcreteConsistencyCalibration</t>
  </si>
  <si>
    <t>TConcreteConsistencyClass</t>
  </si>
  <si>
    <t>TConcreteConsistencyCalibrationPoint</t>
  </si>
  <si>
    <t>Identifier</t>
  </si>
  <si>
    <t>CC100000-0001-0000-0000-000000000000</t>
  </si>
  <si>
    <t>EN206</t>
  </si>
  <si>
    <t>RangeBegin</t>
  </si>
  <si>
    <t>RangeEnd</t>
  </si>
  <si>
    <t>CC200000-0001-0001-0000-000000000000</t>
  </si>
  <si>
    <t>Coeff1</t>
  </si>
  <si>
    <t>Coeff2</t>
  </si>
  <si>
    <t>Coeff3</t>
  </si>
  <si>
    <t>Coeff4</t>
  </si>
  <si>
    <t>Deleted</t>
  </si>
  <si>
    <t>RegressionAlgorithm</t>
  </si>
  <si>
    <t>Normbeton</t>
  </si>
  <si>
    <t>Calibration for normbeton</t>
  </si>
  <si>
    <t>Standard</t>
  </si>
  <si>
    <t>ClassIdentifier</t>
  </si>
  <si>
    <t>S1</t>
  </si>
  <si>
    <t>CC300000-0001-0001-0000-000000000000</t>
  </si>
  <si>
    <t>CC300000-0001-0002-0000-000000000000</t>
  </si>
  <si>
    <t>CC300000-0001-0003-0000-000000000000</t>
  </si>
  <si>
    <t>S2</t>
  </si>
  <si>
    <t>S3</t>
  </si>
  <si>
    <t>CreationDT</t>
  </si>
  <si>
    <t>IsConsidered</t>
  </si>
  <si>
    <t>MixPower</t>
  </si>
  <si>
    <t>ConsistencyValue</t>
  </si>
  <si>
    <t>CC400000-0001-0001-0000-000000000000</t>
  </si>
  <si>
    <t>abc123</t>
  </si>
  <si>
    <t>CC400000-0001-0003-0000-000000000000</t>
  </si>
  <si>
    <t>S4</t>
  </si>
  <si>
    <t>S5</t>
  </si>
  <si>
    <t>[User]</t>
  </si>
  <si>
    <t>[From]</t>
  </si>
  <si>
    <t>[To]</t>
  </si>
  <si>
    <t>CC400000-0001-0002-0000-000000000000</t>
  </si>
  <si>
    <t>CC400000-0001-0004-0000-000000000000</t>
  </si>
  <si>
    <t>CC400000-0001-0005-0000-000000000000</t>
  </si>
  <si>
    <t>CC400000-0001-0006-0000-000000000000</t>
  </si>
  <si>
    <t>CC400000-0001-0007-0000-000000000000</t>
  </si>
  <si>
    <t>CC100000-0002-0000-0000-000000000000</t>
  </si>
  <si>
    <t>CC300000-0002-0001-0000-000000000000</t>
  </si>
  <si>
    <t>CC300000-0002-0002-0000-000000000000</t>
  </si>
  <si>
    <t>CC300000-0002-0003-0000-000000000000</t>
  </si>
  <si>
    <t>EFB00000-0000-0004-0000-000000000000</t>
  </si>
  <si>
    <t>EFB00000-0000-0005-0000-000000000000</t>
  </si>
  <si>
    <t>EFB00000-0000-0006-0000-000000000000</t>
  </si>
  <si>
    <t>EFB00000-0000-0004-0001-000000000000</t>
  </si>
  <si>
    <t>EFB00000-0000-0004-0002-000000000000</t>
  </si>
  <si>
    <t>EFB00000-0000-0004-0003-000000000000</t>
  </si>
  <si>
    <t>EFB00000-0000-0004-0004-000000000000</t>
  </si>
  <si>
    <t>EFB00000-0000-0004-0005-000000000000</t>
  </si>
  <si>
    <t>EFB00000-0000-0004-0006-000000000000</t>
  </si>
  <si>
    <t>EFB00000-0000-0004-0007-000000000000</t>
  </si>
  <si>
    <t>EFB00000-0000-0004-0008-000000000000</t>
  </si>
  <si>
    <t>EFB00000-0000-0004-0009-000000000000</t>
  </si>
  <si>
    <t>EFB00000-0000-0005-0001-000000000000</t>
  </si>
  <si>
    <t>EFB00000-0000-0005-0002-000000000000</t>
  </si>
  <si>
    <t>EFB00000-0000-0005-0003-000000000000</t>
  </si>
  <si>
    <t>EFB00000-0000-0005-0004-000000000000</t>
  </si>
  <si>
    <t>EFB00000-0000-0005-0005-000000000000</t>
  </si>
  <si>
    <t>EFB00000-0000-0005-0006-000000000000</t>
  </si>
  <si>
    <t>EFB00000-0000-0005-0007-000000000000</t>
  </si>
  <si>
    <t>EFB00000-0000-0005-0008-000000000000</t>
  </si>
  <si>
    <t>EFB00000-0000-0005-0009-000000000000</t>
  </si>
  <si>
    <t>EFB00000-0000-0006-0001-000000000000</t>
  </si>
  <si>
    <t>EFB00000-0000-0006-0002-000000000000</t>
  </si>
  <si>
    <t>EFB00000-0000-0006-0003-000000000000</t>
  </si>
  <si>
    <t>EFB00000-0000-0006-0004-000000000000</t>
  </si>
  <si>
    <t>EFB00000-0000-0006-0005-000000000000</t>
  </si>
  <si>
    <t>EFB00000-0000-0006-0006-000000000000</t>
  </si>
  <si>
    <t>EFB00000-0000-0006-0007-000000000000</t>
  </si>
  <si>
    <t>EFB00000-0000-0006-0008-000000000000</t>
  </si>
  <si>
    <t>EFB00000-0000-0006-0009-000000000000</t>
  </si>
  <si>
    <t>DemoTask A</t>
  </si>
  <si>
    <t>DemoTask B</t>
  </si>
  <si>
    <t>DemoTask C</t>
  </si>
  <si>
    <t>AufwandIst</t>
  </si>
  <si>
    <t>ErledigtDurch</t>
  </si>
  <si>
    <t>Harry</t>
  </si>
  <si>
    <t>Tom</t>
  </si>
  <si>
    <t>Dick</t>
  </si>
  <si>
    <t>ErledigtDt</t>
  </si>
  <si>
    <t>B0EFBEFF-0003-0000-0000-000000000000</t>
  </si>
  <si>
    <t>B0EFBEFF-0004-0000-0000-000000000000</t>
  </si>
  <si>
    <t>B0EFBEFF-0005-0000-0000-000000000000</t>
  </si>
  <si>
    <t>B0EFBEFF-0006-0000-0000-000000000000</t>
  </si>
  <si>
    <t>B0EFBEFF-0007-0000-0000-000000000000</t>
  </si>
  <si>
    <t>B0EFBEFF-0008-0000-0000-000000000000</t>
  </si>
  <si>
    <t>B0EFBEFF-0003-0000-0000-000000000001</t>
  </si>
  <si>
    <t>B0EFBEFF-0004-0000-0000-000000000001</t>
  </si>
  <si>
    <t>B0EFBEFF-0003-0000-0000-000000000002</t>
  </si>
  <si>
    <t>B0EFBEFF-0004-0000-0000-000000000002</t>
  </si>
  <si>
    <t>B0EFBEFF-0003-0000-0000-000000000003</t>
  </si>
  <si>
    <t>B0EFBEFF-0004-0000-0000-000000000003</t>
  </si>
  <si>
    <t>B0EFBEFF-0003-0000-0000-000000000004</t>
  </si>
  <si>
    <t>B0EFBEFF-0004-0000-0000-000000000004</t>
  </si>
  <si>
    <t>B0EFBEFF-0003-0000-0000-000000000005</t>
  </si>
  <si>
    <t>B0EFBEFF-0004-0000-0000-000000000005</t>
  </si>
  <si>
    <t>B0EFBEFF-0003-0000-0000-000000000006</t>
  </si>
  <si>
    <t>B0EFBEFF-0004-0000-0000-000000000006</t>
  </si>
  <si>
    <t>B0EFBEFF-0003-0000-0000-000000000007</t>
  </si>
  <si>
    <t>B0EFBEFF-0004-0000-0000-000000000007</t>
  </si>
  <si>
    <t>B0EFBEFF-0003-0000-0000-000000000008</t>
  </si>
  <si>
    <t>B0EFBEFF-0004-0000-0000-000000000008</t>
  </si>
  <si>
    <t>B0EFBEFF-0003-0000-0000-000000000009</t>
  </si>
  <si>
    <t>B0EFBEFF-0004-0000-0000-000000000009</t>
  </si>
  <si>
    <t>B0EFBEFF-0005-0000-0000-000000000001</t>
  </si>
  <si>
    <t>B0EFBEFF-0006-0000-0000-000000000001</t>
  </si>
  <si>
    <t>B0EFBEFF-0005-0000-0000-000000000002</t>
  </si>
  <si>
    <t>B0EFBEFF-0006-0000-0000-000000000002</t>
  </si>
  <si>
    <t>B0EFBEFF-0005-0000-0000-000000000003</t>
  </si>
  <si>
    <t>B0EFBEFF-0006-0000-0000-000000000003</t>
  </si>
  <si>
    <t>B0EFBEFF-0005-0000-0000-000000000004</t>
  </si>
  <si>
    <t>B0EFBEFF-0006-0000-0000-000000000004</t>
  </si>
  <si>
    <t>B0EFBEFF-0005-0000-0000-000000000005</t>
  </si>
  <si>
    <t>B0EFBEFF-0006-0000-0000-000000000005</t>
  </si>
  <si>
    <t>B0EFBEFF-0006-0000-0001-000000000005</t>
  </si>
  <si>
    <t>B0EFBEFF-0005-0000-0000-000000000006</t>
  </si>
  <si>
    <t>B0EFBEFF-0006-0000-0000-000000000006</t>
  </si>
  <si>
    <t>B0EFBEFF-0005-0000-0000-000000000007</t>
  </si>
  <si>
    <t>B0EFBEFF-0006-0000-0000-000000000007</t>
  </si>
  <si>
    <t>B0EFBEFF-0005-0000-0000-000000000008</t>
  </si>
  <si>
    <t>B0EFBEFF-0006-0000-0000-000000000008</t>
  </si>
  <si>
    <t>B0EFBEFF-0005-0000-0000-000000000009</t>
  </si>
  <si>
    <t>B0EFBEFF-0006-0000-0000-000000000009</t>
  </si>
  <si>
    <t>B0EFBEFF-0007-0000-0000-000000000001</t>
  </si>
  <si>
    <t>B0EFBEFF-0008-0000-0000-000000000001</t>
  </si>
  <si>
    <t>B0EFBEFF-0007-0000-0000-000000000002</t>
  </si>
  <si>
    <t>B0EFBEFF-0008-0000-0000-000000000002</t>
  </si>
  <si>
    <t>B0EFBEFF-0007-0000-0000-000000000003</t>
  </si>
  <si>
    <t>B0EFBEFF-0008-0000-0000-000000000003</t>
  </si>
  <si>
    <t>B0EFBEFF-0007-0000-0000-000000000004</t>
  </si>
  <si>
    <t>B0EFBEFF-0008-0000-0000-000000000004</t>
  </si>
  <si>
    <t>B0EFBEFF-0007-0000-0000-000000000005</t>
  </si>
  <si>
    <t>B0EFBEFF-0008-0000-0000-000000000005</t>
  </si>
  <si>
    <t>B0EFBEFF-0007-0000-0000-000000000006</t>
  </si>
  <si>
    <t>B0EFBEFF-0008-0000-0000-000000000006</t>
  </si>
  <si>
    <t>B0EFBEFF-0007-0000-0000-000000000007</t>
  </si>
  <si>
    <t>B0EFBEFF-0008-0000-0000-000000000007</t>
  </si>
  <si>
    <t>B0EFBEFF-0007-0000-0000-000000000008</t>
  </si>
  <si>
    <t>B0EFBEFF-0008-0000-0000-000000000008</t>
  </si>
  <si>
    <t>B0EFBEFF-0007-0000-0000-000000000009</t>
  </si>
  <si>
    <t>B0EFBEFF-0008-0000-0000-000000000009</t>
  </si>
  <si>
    <t>EFF00000-0007-0000-0000-000000000000</t>
  </si>
  <si>
    <t>EFF00000-0008-0000-0000-000000000000</t>
  </si>
  <si>
    <t>EFF00000-0009-0000-0000-000000000000</t>
  </si>
  <si>
    <t>PartX</t>
  </si>
  <si>
    <t>Demo PartX</t>
  </si>
  <si>
    <t xml:space="preserve"> </t>
  </si>
  <si>
    <t>PartY</t>
  </si>
  <si>
    <t>Demo PartY</t>
  </si>
  <si>
    <t>PartZ</t>
  </si>
  <si>
    <t>Demo PartZ</t>
  </si>
  <si>
    <t>EN206AM</t>
  </si>
  <si>
    <t>CC100000-0003-0000-0000-000000000000</t>
  </si>
  <si>
    <t>CC100000-0004-0000-0000-000000000000</t>
  </si>
  <si>
    <t>EN206VM</t>
  </si>
  <si>
    <t>AKM</t>
  </si>
  <si>
    <t>3A7B82F9-F3C7-4887-B23F-47BF95ECED8B</t>
  </si>
  <si>
    <t>CC300000-0002-0004-0000-000000000000</t>
  </si>
  <si>
    <t>CC300000-0002-0005-0000-000000000000</t>
  </si>
  <si>
    <t>CC300000-0002-0006-0000-000000000000</t>
  </si>
  <si>
    <t>F1</t>
  </si>
  <si>
    <t>F2</t>
  </si>
  <si>
    <t>F3</t>
  </si>
  <si>
    <t>F4</t>
  </si>
  <si>
    <t>F5</t>
  </si>
  <si>
    <t>F6</t>
  </si>
  <si>
    <t>CC300000-0003-0001-0000-000000000000</t>
  </si>
  <si>
    <t>CC300000-0003-0002-0000-000000000000</t>
  </si>
  <si>
    <t>CC300000-0003-0003-0000-000000000000</t>
  </si>
  <si>
    <t>CC300000-0003-0004-0000-000000000000</t>
  </si>
  <si>
    <t>C0</t>
  </si>
  <si>
    <t>C1</t>
  </si>
  <si>
    <t>C2</t>
  </si>
  <si>
    <t>C3</t>
  </si>
  <si>
    <t>CC300000-0001-0004-0000-000000000000</t>
  </si>
  <si>
    <t>CC300000-0001-0005-0000-000000000000</t>
  </si>
  <si>
    <t>7B70F407-B166-4FCC-AC77-FF199A716262</t>
  </si>
  <si>
    <t>B0AACBF0</t>
  </si>
  <si>
    <t>JAutonomieinselBetreiberfirma</t>
  </si>
  <si>
    <t>B0AACBF0-0001-0000-0000-000000000000</t>
  </si>
  <si>
    <t>TMoreOrLessQuestions</t>
  </si>
  <si>
    <t>Category</t>
  </si>
  <si>
    <t>History</t>
  </si>
  <si>
    <t>QuestionText</t>
  </si>
  <si>
    <t>Answer</t>
  </si>
  <si>
    <t>RangeLo</t>
  </si>
  <si>
    <t>RangeHi</t>
  </si>
  <si>
    <t>When was the Battle of Borodino?</t>
  </si>
  <si>
    <t>When was the Battle of Waterloo?</t>
  </si>
  <si>
    <t>When was the Battle of Cajamarca?</t>
  </si>
  <si>
    <t>When was the Battle of Hastings?</t>
  </si>
  <si>
    <t>When was the Battle of Agincourt?</t>
  </si>
  <si>
    <t>QuestionKey</t>
  </si>
  <si>
    <t>Geography</t>
  </si>
  <si>
    <t>How long is the river Nile, in km</t>
  </si>
  <si>
    <t>How long is the river Amazon, in km</t>
  </si>
  <si>
    <t>FAD00000-0000-0000-0000-000000000101</t>
  </si>
  <si>
    <t>FAD00000-0000-0000-0000-000000000102</t>
  </si>
  <si>
    <t>FAD00000-0000-0000-0000-000000000103</t>
  </si>
  <si>
    <t>FAD00000-0000-0000-0000-000000000104</t>
  </si>
  <si>
    <t>FAD00000-0000-0000-0000-000000000105</t>
  </si>
  <si>
    <t>FAD00000-0000-0000-0000-000000000201</t>
  </si>
  <si>
    <t>FAD00000-0000-0000-0000-000000000202</t>
  </si>
  <si>
    <t>FAD00000-0000-0000-0000-000000000203</t>
  </si>
  <si>
    <t>FAD00000-0000-0000-0000-000000000204</t>
  </si>
  <si>
    <t>FAD00000-0000-0000-0000-000000000205</t>
  </si>
  <si>
    <t>FAD00000-0000-0000-0000-000000000206</t>
  </si>
  <si>
    <t>FAD00000-0000-0000-0000-000000000207</t>
  </si>
  <si>
    <t>FAD00000-0000-0000-0000-000000000208</t>
  </si>
  <si>
    <t>FAD00000-0000-0000-0000-000000000209</t>
  </si>
  <si>
    <t>FAD00000-0000-0000-0000-000000000210</t>
  </si>
  <si>
    <t>How long is the Yangtze river, in km</t>
  </si>
  <si>
    <t>How long is the Mississippi river, in km</t>
  </si>
  <si>
    <t>How long is the Congo river, in km</t>
  </si>
  <si>
    <t>How long is the Mekong river, in km</t>
  </si>
  <si>
    <t>How long is the Murray-Darling river, in km</t>
  </si>
  <si>
    <t>How long is the Yukon river, in km</t>
  </si>
  <si>
    <t>How long is the river Danube, in km</t>
  </si>
  <si>
    <t>How long is the Brisbane river, in km</t>
  </si>
  <si>
    <t>TSettings</t>
  </si>
  <si>
    <t>5e500000-0000-0000-0000-000000000001</t>
  </si>
  <si>
    <t>Value</t>
  </si>
  <si>
    <t>MovementSensorOffDelay</t>
  </si>
  <si>
    <t>How long in seconds after the last movement is detected that the sensor registers nobody there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</si>
</sst>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rgb="FFA31515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">
    <xf numFmtId="0" fontId="0" fillId="0" borderId="0" xfId="0"/>
    <xf numFmtId="11" fontId="0" fillId="0" borderId="0" xfId="0" applyNumberFormat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22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Alignment="1">
      <alignment vertical="center" wrapText="1"/>
    </xf>
    <xf numFmtId="164" fontId="0" fillId="0" borderId="0" xfId="0" applyNumberFormat="1"/>
    <xf numFmtId="0" fontId="0" fillId="0" borderId="0" xfId="0" applyNumberFormat="1"/>
    <xf numFmtId="0" fontId="7" fillId="0" borderId="0" xfId="1"/>
    <xf numFmtId="49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90" Type="http://schemas.openxmlformats.org/officeDocument/2006/relationships/styles" Target="styles.xml"/><Relationship Id="rId95" Type="http://schemas.openxmlformats.org/officeDocument/2006/relationships/customXml" Target="../customXml/item3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haredStrings" Target="sharedStrings.xml"/><Relationship Id="rId9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ustomXml" Target="../customXml/item2.xml"/><Relationship Id="rId99" Type="http://schemas.openxmlformats.org/officeDocument/2006/relationships/customXml" Target="../customXml/item7.xml"/><Relationship Id="rId10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customXml" Target="../customXml/item5.xml"/><Relationship Id="rId10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ustomXml" Target="../customXml/item8.xml"/><Relationship Id="rId10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customXml" Target="../customXml/item1.xml"/><Relationship Id="rId98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2025371828521432E-2"/>
          <c:y val="0.17171296296296298"/>
          <c:w val="0.8711968503937007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316491688538881E-2"/>
                  <c:y val="-0.47430154564012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'703-TConcreteConsistencyCalPt'!$F$4:$F$10</c:f>
              <c:numCache>
                <c:formatCode>General</c:formatCode>
                <c:ptCount val="7"/>
                <c:pt idx="0">
                  <c:v>10</c:v>
                </c:pt>
                <c:pt idx="1">
                  <c:v>20</c:v>
                </c:pt>
                <c:pt idx="2">
                  <c:v>34</c:v>
                </c:pt>
                <c:pt idx="3">
                  <c:v>46</c:v>
                </c:pt>
                <c:pt idx="4">
                  <c:v>58</c:v>
                </c:pt>
                <c:pt idx="5">
                  <c:v>72</c:v>
                </c:pt>
                <c:pt idx="6">
                  <c:v>90</c:v>
                </c:pt>
              </c:numCache>
            </c:numRef>
          </c:xVal>
          <c:yVal>
            <c:numRef>
              <c:f>'703-TConcreteConsistencyCalPt'!$G$4:$G$10</c:f>
              <c:numCache>
                <c:formatCode>General</c:formatCode>
                <c:ptCount val="7"/>
                <c:pt idx="0">
                  <c:v>245</c:v>
                </c:pt>
                <c:pt idx="1">
                  <c:v>228</c:v>
                </c:pt>
                <c:pt idx="2">
                  <c:v>183</c:v>
                </c:pt>
                <c:pt idx="3">
                  <c:v>128</c:v>
                </c:pt>
                <c:pt idx="4">
                  <c:v>86</c:v>
                </c:pt>
                <c:pt idx="5">
                  <c:v>54</c:v>
                </c:pt>
                <c:pt idx="6">
                  <c:v>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808912"/>
        <c:axId val="884809472"/>
      </c:scatterChart>
      <c:valAx>
        <c:axId val="88480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809472"/>
        <c:crosses val="autoZero"/>
        <c:crossBetween val="midCat"/>
      </c:valAx>
      <c:valAx>
        <c:axId val="88480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80891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708660</xdr:colOff>
      <xdr:row>13</xdr:row>
      <xdr:rowOff>30480</xdr:rowOff>
    </xdr:from>
    <xdr:to>
      <xdr:col>7</xdr:col>
      <xdr:colOff>1905000</xdr:colOff>
      <xdr:row>28</xdr:row>
      <xdr:rowOff>30480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6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7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ammann-group.com/" TargetMode="External"/><Relationship Id="rId3" Type="http://schemas.openxmlformats.org/officeDocument/2006/relationships/hyperlink" Target="http://www.ammann-group.com/" TargetMode="External"/><Relationship Id="rId7" Type="http://schemas.openxmlformats.org/officeDocument/2006/relationships/hyperlink" Target="http://www.ammann-group.com/" TargetMode="External"/><Relationship Id="rId2" Type="http://schemas.openxmlformats.org/officeDocument/2006/relationships/hyperlink" Target="http://www.ammann-group.com/" TargetMode="External"/><Relationship Id="rId1" Type="http://schemas.openxmlformats.org/officeDocument/2006/relationships/hyperlink" Target="http://www.acme.com.au/" TargetMode="External"/><Relationship Id="rId6" Type="http://schemas.openxmlformats.org/officeDocument/2006/relationships/hyperlink" Target="http://www.ammann-group.com/" TargetMode="External"/><Relationship Id="rId11" Type="http://schemas.openxmlformats.org/officeDocument/2006/relationships/comments" Target="../comments21.xml"/><Relationship Id="rId5" Type="http://schemas.openxmlformats.org/officeDocument/2006/relationships/hyperlink" Target="http://www.ammann-group.com/" TargetMode="External"/><Relationship Id="rId10" Type="http://schemas.openxmlformats.org/officeDocument/2006/relationships/vmlDrawing" Target="../drawings/vmlDrawing21.vml"/><Relationship Id="rId4" Type="http://schemas.openxmlformats.org/officeDocument/2006/relationships/hyperlink" Target="http://www.ammann-group.com/" TargetMode="External"/><Relationship Id="rId9" Type="http://schemas.openxmlformats.org/officeDocument/2006/relationships/printerSettings" Target="../printerSettings/printerSettings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4:C79"/>
  <sheetViews>
    <sheetView workbookViewId="0">
      <selection activeCell="C20" sqref="C20"/>
    </sheetView>
  </sheetViews>
  <sheetFormatPr defaultColWidth="11.42578125" defaultRowHeight="15" x14ac:dyDescent="0.25"/>
  <cols>
    <col min="2" max="2" width="25.28515625" customWidth="1"/>
    <col min="3" max="3" width="33.7109375" customWidth="1"/>
    <col min="4" max="4" width="15.85546875" bestFit="1" customWidth="1"/>
    <col min="5" max="5" width="50.42578125" bestFit="1" customWidth="1"/>
  </cols>
  <sheetData>
    <row r="4" spans="2:3" x14ac:dyDescent="0.25">
      <c r="B4" s="2" t="s">
        <v>484</v>
      </c>
    </row>
    <row r="5" spans="2:3" x14ac:dyDescent="0.25">
      <c r="B5" s="2" t="s">
        <v>485</v>
      </c>
      <c r="C5" s="2" t="s">
        <v>486</v>
      </c>
    </row>
    <row r="6" spans="2:3" x14ac:dyDescent="0.25">
      <c r="B6" t="s">
        <v>37</v>
      </c>
      <c r="C6" t="s">
        <v>35</v>
      </c>
    </row>
    <row r="7" spans="2:3" x14ac:dyDescent="0.25">
      <c r="B7" t="s">
        <v>424</v>
      </c>
      <c r="C7" t="s">
        <v>42</v>
      </c>
    </row>
    <row r="8" spans="2:3" x14ac:dyDescent="0.25">
      <c r="B8" t="s">
        <v>431</v>
      </c>
      <c r="C8" t="s">
        <v>130</v>
      </c>
    </row>
    <row r="9" spans="2:3" x14ac:dyDescent="0.25">
      <c r="B9" t="s">
        <v>113</v>
      </c>
      <c r="C9" t="s">
        <v>58</v>
      </c>
    </row>
    <row r="10" spans="2:3" x14ac:dyDescent="0.25">
      <c r="B10" t="s">
        <v>326</v>
      </c>
      <c r="C10" t="s">
        <v>327</v>
      </c>
    </row>
    <row r="11" spans="2:3" x14ac:dyDescent="0.25">
      <c r="B11" t="s">
        <v>395</v>
      </c>
      <c r="C11" t="s">
        <v>389</v>
      </c>
    </row>
    <row r="12" spans="2:3" x14ac:dyDescent="0.25">
      <c r="B12" t="s">
        <v>393</v>
      </c>
      <c r="C12" t="s">
        <v>385</v>
      </c>
    </row>
    <row r="13" spans="2:3" x14ac:dyDescent="0.25">
      <c r="B13" t="s">
        <v>76</v>
      </c>
      <c r="C13" t="s">
        <v>75</v>
      </c>
    </row>
    <row r="14" spans="2:3" x14ac:dyDescent="0.25">
      <c r="B14" t="s">
        <v>1102</v>
      </c>
      <c r="C14" t="s">
        <v>493</v>
      </c>
    </row>
    <row r="15" spans="2:3" x14ac:dyDescent="0.25">
      <c r="B15" t="s">
        <v>127</v>
      </c>
      <c r="C15" t="s">
        <v>126</v>
      </c>
    </row>
    <row r="16" spans="2:3" x14ac:dyDescent="0.25">
      <c r="B16" t="s">
        <v>325</v>
      </c>
      <c r="C16" t="s">
        <v>324</v>
      </c>
    </row>
    <row r="17" spans="2:3" x14ac:dyDescent="0.25">
      <c r="B17" t="s">
        <v>73</v>
      </c>
      <c r="C17" t="s">
        <v>72</v>
      </c>
    </row>
    <row r="18" spans="2:3" x14ac:dyDescent="0.25">
      <c r="B18" t="s">
        <v>1855</v>
      </c>
      <c r="C18" t="s">
        <v>1856</v>
      </c>
    </row>
    <row r="19" spans="2:3" x14ac:dyDescent="0.25">
      <c r="B19" t="s">
        <v>118</v>
      </c>
      <c r="C19" t="s">
        <v>114</v>
      </c>
    </row>
    <row r="20" spans="2:3" x14ac:dyDescent="0.25">
      <c r="B20" t="s">
        <v>136</v>
      </c>
      <c r="C20" t="s">
        <v>992</v>
      </c>
    </row>
    <row r="21" spans="2:3" x14ac:dyDescent="0.25">
      <c r="B21" t="s">
        <v>153</v>
      </c>
      <c r="C21" t="s">
        <v>152</v>
      </c>
    </row>
    <row r="22" spans="2:3" x14ac:dyDescent="0.25">
      <c r="B22" t="s">
        <v>502</v>
      </c>
      <c r="C22" t="s">
        <v>501</v>
      </c>
    </row>
    <row r="23" spans="2:3" x14ac:dyDescent="0.25">
      <c r="B23" t="s">
        <v>300</v>
      </c>
      <c r="C23" t="s">
        <v>299</v>
      </c>
    </row>
    <row r="24" spans="2:3" x14ac:dyDescent="0.25">
      <c r="B24" t="s">
        <v>50</v>
      </c>
      <c r="C24" t="s">
        <v>48</v>
      </c>
    </row>
    <row r="25" spans="2:3" x14ac:dyDescent="0.25">
      <c r="B25" t="s">
        <v>34</v>
      </c>
      <c r="C25" t="s">
        <v>22</v>
      </c>
    </row>
    <row r="26" spans="2:3" x14ac:dyDescent="0.25">
      <c r="B26" t="s">
        <v>31</v>
      </c>
      <c r="C26" t="s">
        <v>18</v>
      </c>
    </row>
    <row r="27" spans="2:3" x14ac:dyDescent="0.25">
      <c r="B27" t="s">
        <v>54</v>
      </c>
      <c r="C27" t="s">
        <v>51</v>
      </c>
    </row>
    <row r="28" spans="2:3" x14ac:dyDescent="0.25">
      <c r="B28" t="s">
        <v>266</v>
      </c>
      <c r="C28" t="s">
        <v>265</v>
      </c>
    </row>
    <row r="29" spans="2:3" x14ac:dyDescent="0.25">
      <c r="B29" t="s">
        <v>1072</v>
      </c>
      <c r="C29" t="s">
        <v>1073</v>
      </c>
    </row>
    <row r="30" spans="2:3" x14ac:dyDescent="0.25">
      <c r="B30" t="s">
        <v>310</v>
      </c>
      <c r="C30" t="s">
        <v>309</v>
      </c>
    </row>
    <row r="31" spans="2:3" x14ac:dyDescent="0.25">
      <c r="B31" t="s">
        <v>779</v>
      </c>
      <c r="C31" t="s">
        <v>780</v>
      </c>
    </row>
    <row r="32" spans="2:3" x14ac:dyDescent="0.25">
      <c r="B32" t="s">
        <v>812</v>
      </c>
      <c r="C32" t="s">
        <v>813</v>
      </c>
    </row>
    <row r="33" spans="2:3" x14ac:dyDescent="0.25">
      <c r="B33" t="s">
        <v>998</v>
      </c>
      <c r="C33" t="s">
        <v>999</v>
      </c>
    </row>
    <row r="34" spans="2:3" x14ac:dyDescent="0.25">
      <c r="B34" t="s">
        <v>350</v>
      </c>
      <c r="C34" t="s">
        <v>349</v>
      </c>
    </row>
    <row r="35" spans="2:3" x14ac:dyDescent="0.25">
      <c r="B35" t="s">
        <v>537</v>
      </c>
      <c r="C35" t="s">
        <v>529</v>
      </c>
    </row>
    <row r="36" spans="2:3" x14ac:dyDescent="0.25">
      <c r="B36" t="s">
        <v>28</v>
      </c>
      <c r="C36" t="s">
        <v>17</v>
      </c>
    </row>
    <row r="37" spans="2:3" x14ac:dyDescent="0.25">
      <c r="B37" t="s">
        <v>188</v>
      </c>
      <c r="C37" t="s">
        <v>187</v>
      </c>
    </row>
    <row r="38" spans="2:3" x14ac:dyDescent="0.25">
      <c r="B38" t="s">
        <v>496</v>
      </c>
      <c r="C38" t="s">
        <v>492</v>
      </c>
    </row>
    <row r="39" spans="2:3" x14ac:dyDescent="0.25">
      <c r="B39" t="s">
        <v>47</v>
      </c>
      <c r="C39" t="s">
        <v>45</v>
      </c>
    </row>
    <row r="40" spans="2:3" x14ac:dyDescent="0.25">
      <c r="B40" t="s">
        <v>70</v>
      </c>
      <c r="C40" t="s">
        <v>64</v>
      </c>
    </row>
    <row r="41" spans="2:3" x14ac:dyDescent="0.25">
      <c r="B41" t="s">
        <v>61</v>
      </c>
      <c r="C41" t="s">
        <v>62</v>
      </c>
    </row>
    <row r="42" spans="2:3" x14ac:dyDescent="0.25">
      <c r="B42" t="s">
        <v>498</v>
      </c>
      <c r="C42" t="s">
        <v>494</v>
      </c>
    </row>
    <row r="43" spans="2:3" x14ac:dyDescent="0.25">
      <c r="B43" t="s">
        <v>32</v>
      </c>
      <c r="C43" t="s">
        <v>33</v>
      </c>
    </row>
    <row r="44" spans="2:3" x14ac:dyDescent="0.25">
      <c r="B44" t="s">
        <v>294</v>
      </c>
      <c r="C44" t="s">
        <v>97</v>
      </c>
    </row>
    <row r="45" spans="2:3" x14ac:dyDescent="0.25">
      <c r="B45" t="s">
        <v>30</v>
      </c>
      <c r="C45" t="s">
        <v>15</v>
      </c>
    </row>
    <row r="46" spans="2:3" x14ac:dyDescent="0.25">
      <c r="B46" t="s">
        <v>29</v>
      </c>
      <c r="C46" t="s">
        <v>12</v>
      </c>
    </row>
    <row r="47" spans="2:3" x14ac:dyDescent="0.25">
      <c r="B47" t="s">
        <v>1669</v>
      </c>
      <c r="C47" t="s">
        <v>1668</v>
      </c>
    </row>
    <row r="48" spans="2:3" x14ac:dyDescent="0.25">
      <c r="B48" t="s">
        <v>1670</v>
      </c>
      <c r="C48" t="s">
        <v>1673</v>
      </c>
    </row>
    <row r="49" spans="2:3" x14ac:dyDescent="0.25">
      <c r="B49" t="s">
        <v>1671</v>
      </c>
      <c r="C49" t="s">
        <v>1674</v>
      </c>
    </row>
    <row r="50" spans="2:3" x14ac:dyDescent="0.25">
      <c r="B50" t="s">
        <v>1672</v>
      </c>
      <c r="C50" t="s">
        <v>1675</v>
      </c>
    </row>
    <row r="51" spans="2:3" x14ac:dyDescent="0.25">
      <c r="B51" t="s">
        <v>262</v>
      </c>
      <c r="C51" t="s">
        <v>91</v>
      </c>
    </row>
    <row r="52" spans="2:3" x14ac:dyDescent="0.25">
      <c r="B52" t="s">
        <v>1047</v>
      </c>
      <c r="C52" t="s">
        <v>1037</v>
      </c>
    </row>
    <row r="53" spans="2:3" x14ac:dyDescent="0.25">
      <c r="B53" t="s">
        <v>1048</v>
      </c>
      <c r="C53" t="s">
        <v>1051</v>
      </c>
    </row>
    <row r="54" spans="2:3" x14ac:dyDescent="0.25">
      <c r="B54" t="s">
        <v>1049</v>
      </c>
      <c r="C54" t="s">
        <v>1052</v>
      </c>
    </row>
    <row r="55" spans="2:3" x14ac:dyDescent="0.25">
      <c r="B55" t="s">
        <v>1050</v>
      </c>
      <c r="C55" t="s">
        <v>1053</v>
      </c>
    </row>
    <row r="56" spans="2:3" x14ac:dyDescent="0.25">
      <c r="B56" t="s">
        <v>1085</v>
      </c>
      <c r="C56" t="s">
        <v>1086</v>
      </c>
    </row>
    <row r="57" spans="2:3" x14ac:dyDescent="0.25">
      <c r="B57" t="s">
        <v>1157</v>
      </c>
      <c r="C57" t="s">
        <v>1153</v>
      </c>
    </row>
    <row r="58" spans="2:3" x14ac:dyDescent="0.25">
      <c r="B58" t="s">
        <v>1071</v>
      </c>
      <c r="C58" t="s">
        <v>1070</v>
      </c>
    </row>
    <row r="59" spans="2:3" x14ac:dyDescent="0.25">
      <c r="B59" t="s">
        <v>487</v>
      </c>
      <c r="C59" t="s">
        <v>483</v>
      </c>
    </row>
    <row r="60" spans="2:3" x14ac:dyDescent="0.25">
      <c r="B60" t="s">
        <v>87</v>
      </c>
      <c r="C60" t="s">
        <v>86</v>
      </c>
    </row>
    <row r="61" spans="2:3" x14ac:dyDescent="0.25">
      <c r="B61" t="s">
        <v>296</v>
      </c>
      <c r="C61" t="s">
        <v>295</v>
      </c>
    </row>
    <row r="62" spans="2:3" x14ac:dyDescent="0.25">
      <c r="B62" t="s">
        <v>478</v>
      </c>
      <c r="C62" t="s">
        <v>477</v>
      </c>
    </row>
    <row r="63" spans="2:3" x14ac:dyDescent="0.25">
      <c r="B63" t="s">
        <v>307</v>
      </c>
      <c r="C63" t="s">
        <v>856</v>
      </c>
    </row>
    <row r="64" spans="2:3" x14ac:dyDescent="0.25">
      <c r="B64" t="s">
        <v>857</v>
      </c>
      <c r="C64" t="s">
        <v>858</v>
      </c>
    </row>
    <row r="65" spans="2:3" x14ac:dyDescent="0.25">
      <c r="B65" t="s">
        <v>105</v>
      </c>
      <c r="C65" t="s">
        <v>103</v>
      </c>
    </row>
    <row r="66" spans="2:3" x14ac:dyDescent="0.25">
      <c r="B66" t="s">
        <v>56</v>
      </c>
      <c r="C66" t="s">
        <v>55</v>
      </c>
    </row>
    <row r="67" spans="2:3" x14ac:dyDescent="0.25">
      <c r="B67" t="s">
        <v>343</v>
      </c>
      <c r="C67" t="s">
        <v>342</v>
      </c>
    </row>
    <row r="68" spans="2:3" x14ac:dyDescent="0.25">
      <c r="B68" t="s">
        <v>193</v>
      </c>
      <c r="C68" t="s">
        <v>192</v>
      </c>
    </row>
    <row r="69" spans="2:3" x14ac:dyDescent="0.25">
      <c r="B69" t="s">
        <v>26</v>
      </c>
      <c r="C69" t="s">
        <v>27</v>
      </c>
    </row>
    <row r="70" spans="2:3" x14ac:dyDescent="0.25">
      <c r="B70" t="s">
        <v>25</v>
      </c>
      <c r="C70" t="s">
        <v>4</v>
      </c>
    </row>
    <row r="71" spans="2:3" x14ac:dyDescent="0.25">
      <c r="B71" t="s">
        <v>183</v>
      </c>
      <c r="C71" t="s">
        <v>182</v>
      </c>
    </row>
    <row r="72" spans="2:3" x14ac:dyDescent="0.25">
      <c r="B72" t="s">
        <v>697</v>
      </c>
      <c r="C72" t="s">
        <v>704</v>
      </c>
    </row>
    <row r="73" spans="2:3" x14ac:dyDescent="0.25">
      <c r="B73" t="s">
        <v>1630</v>
      </c>
      <c r="C73" t="s">
        <v>1629</v>
      </c>
    </row>
    <row r="74" spans="2:3" x14ac:dyDescent="0.25">
      <c r="B74" t="s">
        <v>770</v>
      </c>
      <c r="C74" t="s">
        <v>771</v>
      </c>
    </row>
    <row r="75" spans="2:3" x14ac:dyDescent="0.25">
      <c r="B75" t="s">
        <v>785</v>
      </c>
      <c r="C75" t="s">
        <v>786</v>
      </c>
    </row>
    <row r="76" spans="2:3" x14ac:dyDescent="0.25">
      <c r="B76" t="s">
        <v>787</v>
      </c>
      <c r="C76" t="s">
        <v>788</v>
      </c>
    </row>
    <row r="77" spans="2:3" x14ac:dyDescent="0.25">
      <c r="B77" t="s">
        <v>808</v>
      </c>
      <c r="C77" t="s">
        <v>809</v>
      </c>
    </row>
    <row r="78" spans="2:3" x14ac:dyDescent="0.25">
      <c r="B78" t="s">
        <v>810</v>
      </c>
      <c r="C78" t="s">
        <v>811</v>
      </c>
    </row>
    <row r="79" spans="2:3" x14ac:dyDescent="0.25">
      <c r="B79" t="s">
        <v>996</v>
      </c>
      <c r="C79" t="s">
        <v>997</v>
      </c>
    </row>
  </sheetData>
  <sortState ref="B6:C53">
    <sortCondition ref="B6:B53"/>
  </sortState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5"/>
  <dimension ref="A1:D4"/>
  <sheetViews>
    <sheetView workbookViewId="0">
      <selection activeCell="B4" sqref="B4"/>
    </sheetView>
  </sheetViews>
  <sheetFormatPr defaultColWidth="11.42578125" defaultRowHeight="15" x14ac:dyDescent="0.25"/>
  <cols>
    <col min="1" max="1" width="39.42578125" customWidth="1"/>
    <col min="2" max="2" width="30.140625" customWidth="1"/>
    <col min="3" max="3" width="14.28515625" customWidth="1"/>
    <col min="4" max="4" width="118.5703125" customWidth="1"/>
    <col min="5" max="5" width="17.5703125" customWidth="1"/>
    <col min="6" max="6" width="12.28515625" customWidth="1"/>
  </cols>
  <sheetData>
    <row r="1" spans="1:4" x14ac:dyDescent="0.25">
      <c r="A1" t="s">
        <v>1897</v>
      </c>
    </row>
    <row r="3" spans="1:4" x14ac:dyDescent="0.25">
      <c r="A3" t="s">
        <v>0</v>
      </c>
      <c r="B3" t="s">
        <v>2</v>
      </c>
      <c r="C3" t="s">
        <v>1899</v>
      </c>
      <c r="D3" t="s">
        <v>1001</v>
      </c>
    </row>
    <row r="4" spans="1:4" x14ac:dyDescent="0.25">
      <c r="A4" s="1" t="s">
        <v>1898</v>
      </c>
      <c r="B4" t="s">
        <v>1900</v>
      </c>
      <c r="C4">
        <v>300</v>
      </c>
      <c r="D4" t="s">
        <v>1901</v>
      </c>
    </row>
  </sheetData>
  <dataConsolidate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4"/>
  <dimension ref="A1:G18"/>
  <sheetViews>
    <sheetView tabSelected="1" workbookViewId="0">
      <selection activeCell="A19" sqref="A19"/>
    </sheetView>
  </sheetViews>
  <sheetFormatPr defaultColWidth="11.42578125" defaultRowHeight="15" x14ac:dyDescent="0.25"/>
  <cols>
    <col min="1" max="1" width="39.42578125" customWidth="1"/>
    <col min="2" max="2" width="8.85546875" customWidth="1"/>
    <col min="3" max="3" width="13" customWidth="1"/>
    <col min="4" max="4" width="40.7109375" customWidth="1"/>
    <col min="5" max="5" width="17.5703125" customWidth="1"/>
    <col min="6" max="6" width="12.28515625" customWidth="1"/>
  </cols>
  <sheetData>
    <row r="1" spans="1:7" x14ac:dyDescent="0.25">
      <c r="A1" t="s">
        <v>1858</v>
      </c>
    </row>
    <row r="2" spans="1:7" x14ac:dyDescent="0.25">
      <c r="B2" t="s">
        <v>5</v>
      </c>
      <c r="E2" t="s">
        <v>5</v>
      </c>
      <c r="F2" t="s">
        <v>5</v>
      </c>
      <c r="G2" t="s">
        <v>5</v>
      </c>
    </row>
    <row r="3" spans="1:7" x14ac:dyDescent="0.25">
      <c r="A3" t="s">
        <v>0</v>
      </c>
      <c r="B3" t="s">
        <v>1870</v>
      </c>
      <c r="C3" t="s">
        <v>1859</v>
      </c>
      <c r="D3" t="s">
        <v>1861</v>
      </c>
      <c r="E3" t="s">
        <v>1862</v>
      </c>
      <c r="F3" t="s">
        <v>1863</v>
      </c>
      <c r="G3" t="s">
        <v>1864</v>
      </c>
    </row>
    <row r="4" spans="1:7" x14ac:dyDescent="0.25">
      <c r="A4" t="s">
        <v>1874</v>
      </c>
      <c r="B4">
        <v>101</v>
      </c>
      <c r="C4" t="s">
        <v>1860</v>
      </c>
      <c r="D4" t="s">
        <v>1865</v>
      </c>
      <c r="E4">
        <v>1812</v>
      </c>
      <c r="F4">
        <v>1777</v>
      </c>
      <c r="G4">
        <v>1852</v>
      </c>
    </row>
    <row r="5" spans="1:7" x14ac:dyDescent="0.25">
      <c r="A5" t="s">
        <v>1875</v>
      </c>
      <c r="B5">
        <v>102</v>
      </c>
      <c r="C5" t="s">
        <v>1860</v>
      </c>
      <c r="D5" t="s">
        <v>1866</v>
      </c>
      <c r="E5">
        <v>1815</v>
      </c>
      <c r="F5">
        <v>1750</v>
      </c>
      <c r="G5">
        <v>1850</v>
      </c>
    </row>
    <row r="6" spans="1:7" x14ac:dyDescent="0.25">
      <c r="A6" t="s">
        <v>1876</v>
      </c>
      <c r="B6">
        <v>103</v>
      </c>
      <c r="C6" t="s">
        <v>1860</v>
      </c>
      <c r="D6" t="s">
        <v>1867</v>
      </c>
      <c r="E6">
        <v>1532</v>
      </c>
      <c r="F6">
        <v>1480</v>
      </c>
      <c r="G6">
        <v>1655</v>
      </c>
    </row>
    <row r="7" spans="1:7" x14ac:dyDescent="0.25">
      <c r="A7" t="s">
        <v>1877</v>
      </c>
      <c r="B7">
        <v>104</v>
      </c>
      <c r="C7" t="s">
        <v>1860</v>
      </c>
      <c r="D7" t="s">
        <v>1868</v>
      </c>
      <c r="E7">
        <v>1066</v>
      </c>
      <c r="F7">
        <v>1022</v>
      </c>
      <c r="G7">
        <v>1088</v>
      </c>
    </row>
    <row r="8" spans="1:7" x14ac:dyDescent="0.25">
      <c r="A8" t="s">
        <v>1878</v>
      </c>
      <c r="B8">
        <v>105</v>
      </c>
      <c r="C8" t="s">
        <v>1860</v>
      </c>
      <c r="D8" t="s">
        <v>1869</v>
      </c>
      <c r="E8">
        <v>1415</v>
      </c>
      <c r="F8">
        <v>1256</v>
      </c>
      <c r="G8">
        <v>1605</v>
      </c>
    </row>
    <row r="9" spans="1:7" x14ac:dyDescent="0.25">
      <c r="A9" t="s">
        <v>1879</v>
      </c>
      <c r="B9">
        <v>201</v>
      </c>
      <c r="C9" t="s">
        <v>1871</v>
      </c>
      <c r="D9" t="s">
        <v>1872</v>
      </c>
      <c r="E9">
        <v>6650</v>
      </c>
      <c r="F9">
        <v>4500</v>
      </c>
      <c r="G9">
        <v>7500</v>
      </c>
    </row>
    <row r="10" spans="1:7" x14ac:dyDescent="0.25">
      <c r="A10" t="s">
        <v>1880</v>
      </c>
      <c r="B10">
        <v>202</v>
      </c>
      <c r="C10" t="s">
        <v>1871</v>
      </c>
      <c r="D10" t="s">
        <v>1873</v>
      </c>
      <c r="E10">
        <v>6575</v>
      </c>
      <c r="F10">
        <v>4800</v>
      </c>
      <c r="G10">
        <v>7200</v>
      </c>
    </row>
    <row r="11" spans="1:7" x14ac:dyDescent="0.25">
      <c r="A11" t="s">
        <v>1881</v>
      </c>
      <c r="B11">
        <v>203</v>
      </c>
      <c r="C11" t="s">
        <v>1871</v>
      </c>
      <c r="D11" t="s">
        <v>1889</v>
      </c>
      <c r="E11">
        <v>6300</v>
      </c>
      <c r="F11">
        <v>5000</v>
      </c>
      <c r="G11">
        <v>7000</v>
      </c>
    </row>
    <row r="12" spans="1:7" x14ac:dyDescent="0.25">
      <c r="A12" t="s">
        <v>1882</v>
      </c>
      <c r="B12">
        <v>204</v>
      </c>
      <c r="C12" t="s">
        <v>1871</v>
      </c>
      <c r="D12" t="s">
        <v>1890</v>
      </c>
      <c r="E12">
        <v>6275</v>
      </c>
      <c r="F12">
        <v>5000</v>
      </c>
      <c r="G12">
        <v>7000</v>
      </c>
    </row>
    <row r="13" spans="1:7" x14ac:dyDescent="0.25">
      <c r="A13" t="s">
        <v>1883</v>
      </c>
      <c r="B13">
        <v>205</v>
      </c>
      <c r="C13" t="s">
        <v>1871</v>
      </c>
      <c r="D13" t="s">
        <v>1891</v>
      </c>
      <c r="E13">
        <v>4700</v>
      </c>
      <c r="F13">
        <v>3500</v>
      </c>
      <c r="G13">
        <v>6000</v>
      </c>
    </row>
    <row r="14" spans="1:7" x14ac:dyDescent="0.25">
      <c r="A14" t="s">
        <v>1884</v>
      </c>
      <c r="B14">
        <v>206</v>
      </c>
      <c r="C14" t="s">
        <v>1871</v>
      </c>
      <c r="D14" t="s">
        <v>1892</v>
      </c>
      <c r="E14">
        <v>4350</v>
      </c>
      <c r="F14">
        <v>3000</v>
      </c>
      <c r="G14">
        <v>6000</v>
      </c>
    </row>
    <row r="15" spans="1:7" x14ac:dyDescent="0.25">
      <c r="A15" t="s">
        <v>1885</v>
      </c>
      <c r="B15">
        <v>207</v>
      </c>
      <c r="C15" t="s">
        <v>1871</v>
      </c>
      <c r="D15" t="s">
        <v>1893</v>
      </c>
      <c r="E15">
        <v>3672</v>
      </c>
      <c r="F15">
        <v>2500</v>
      </c>
      <c r="G15">
        <v>4500</v>
      </c>
    </row>
    <row r="16" spans="1:7" x14ac:dyDescent="0.25">
      <c r="A16" t="s">
        <v>1886</v>
      </c>
      <c r="B16">
        <v>208</v>
      </c>
      <c r="C16" t="s">
        <v>1871</v>
      </c>
      <c r="D16" t="s">
        <v>1894</v>
      </c>
      <c r="E16">
        <v>3185</v>
      </c>
      <c r="F16">
        <v>2500</v>
      </c>
      <c r="G16">
        <v>4500</v>
      </c>
    </row>
    <row r="17" spans="1:7" x14ac:dyDescent="0.25">
      <c r="A17" t="s">
        <v>1887</v>
      </c>
      <c r="B17">
        <v>209</v>
      </c>
      <c r="C17" t="s">
        <v>1871</v>
      </c>
      <c r="D17" t="s">
        <v>1895</v>
      </c>
      <c r="E17">
        <v>2888</v>
      </c>
      <c r="F17">
        <v>1500</v>
      </c>
      <c r="G17">
        <v>4000</v>
      </c>
    </row>
    <row r="18" spans="1:7" x14ac:dyDescent="0.25">
      <c r="A18" t="s">
        <v>1888</v>
      </c>
      <c r="B18">
        <v>210</v>
      </c>
      <c r="C18" t="s">
        <v>1871</v>
      </c>
      <c r="D18" t="s">
        <v>1896</v>
      </c>
      <c r="E18">
        <v>344</v>
      </c>
      <c r="F18">
        <v>250</v>
      </c>
      <c r="G18">
        <v>400</v>
      </c>
    </row>
  </sheetData>
  <dataConsolidate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8"/>
  <sheetViews>
    <sheetView workbookViewId="0">
      <selection activeCell="A9" sqref="A9"/>
    </sheetView>
  </sheetViews>
  <sheetFormatPr defaultColWidth="11.42578125" defaultRowHeight="15" x14ac:dyDescent="0.25"/>
  <cols>
    <col min="1" max="1" width="39.42578125" customWidth="1"/>
    <col min="2" max="2" width="21.28515625" customWidth="1"/>
    <col min="3" max="3" width="25.85546875" customWidth="1"/>
    <col min="4" max="4" width="15" customWidth="1"/>
    <col min="5" max="5" width="17.5703125" customWidth="1"/>
    <col min="6" max="6" width="27.7109375" customWidth="1"/>
  </cols>
  <sheetData>
    <row r="1" spans="1:5" x14ac:dyDescent="0.25">
      <c r="A1" t="s">
        <v>4</v>
      </c>
    </row>
    <row r="2" spans="1:5" x14ac:dyDescent="0.25">
      <c r="D2" t="s">
        <v>5</v>
      </c>
    </row>
    <row r="3" spans="1:5" x14ac:dyDescent="0.25">
      <c r="A3" t="s">
        <v>0</v>
      </c>
      <c r="B3" t="s">
        <v>1</v>
      </c>
      <c r="C3" t="s">
        <v>2</v>
      </c>
      <c r="D3" t="s">
        <v>3</v>
      </c>
      <c r="E3" t="s">
        <v>695</v>
      </c>
    </row>
    <row r="4" spans="1:5" x14ac:dyDescent="0.25">
      <c r="A4" t="s">
        <v>6</v>
      </c>
      <c r="B4" t="s">
        <v>1205</v>
      </c>
      <c r="C4" t="s">
        <v>1206</v>
      </c>
      <c r="D4">
        <v>1</v>
      </c>
      <c r="E4" t="s">
        <v>696</v>
      </c>
    </row>
    <row r="5" spans="1:5" x14ac:dyDescent="0.25">
      <c r="A5" t="s">
        <v>7</v>
      </c>
      <c r="B5" t="s">
        <v>1191</v>
      </c>
      <c r="C5" t="s">
        <v>1192</v>
      </c>
      <c r="D5">
        <v>1</v>
      </c>
      <c r="E5" t="s">
        <v>696</v>
      </c>
    </row>
    <row r="6" spans="1:5" x14ac:dyDescent="0.25">
      <c r="A6" t="s">
        <v>508</v>
      </c>
      <c r="B6" t="s">
        <v>1207</v>
      </c>
      <c r="C6" t="s">
        <v>1208</v>
      </c>
      <c r="D6">
        <v>1</v>
      </c>
      <c r="E6" t="s">
        <v>696</v>
      </c>
    </row>
    <row r="7" spans="1:5" x14ac:dyDescent="0.25">
      <c r="A7" t="s">
        <v>509</v>
      </c>
      <c r="B7" t="s">
        <v>1203</v>
      </c>
      <c r="C7" t="s">
        <v>1204</v>
      </c>
      <c r="D7">
        <v>1</v>
      </c>
      <c r="E7" t="s">
        <v>696</v>
      </c>
    </row>
    <row r="8" spans="1:5" x14ac:dyDescent="0.25">
      <c r="A8" t="s">
        <v>510</v>
      </c>
      <c r="B8" t="s">
        <v>1209</v>
      </c>
      <c r="C8" t="s">
        <v>1210</v>
      </c>
      <c r="D8">
        <v>1</v>
      </c>
      <c r="E8" t="s">
        <v>696</v>
      </c>
    </row>
  </sheetData>
  <dataConsolidate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10"/>
  <sheetViews>
    <sheetView workbookViewId="0">
      <selection activeCell="A11" sqref="A11"/>
    </sheetView>
  </sheetViews>
  <sheetFormatPr defaultColWidth="11.42578125" defaultRowHeight="15" x14ac:dyDescent="0.25"/>
  <cols>
    <col min="1" max="1" width="41" customWidth="1"/>
    <col min="2" max="2" width="42.28515625" customWidth="1"/>
    <col min="3" max="3" width="37.140625" bestFit="1" customWidth="1"/>
  </cols>
  <sheetData>
    <row r="1" spans="1:3" x14ac:dyDescent="0.25">
      <c r="A1" t="s">
        <v>8</v>
      </c>
    </row>
    <row r="3" spans="1:3" x14ac:dyDescent="0.25">
      <c r="A3" t="s">
        <v>0</v>
      </c>
      <c r="B3" t="s">
        <v>1</v>
      </c>
      <c r="C3" t="s">
        <v>2</v>
      </c>
    </row>
    <row r="4" spans="1:3" x14ac:dyDescent="0.25">
      <c r="A4" t="s">
        <v>9</v>
      </c>
      <c r="B4" t="s">
        <v>1193</v>
      </c>
      <c r="C4" t="s">
        <v>1193</v>
      </c>
    </row>
    <row r="5" spans="1:3" x14ac:dyDescent="0.25">
      <c r="A5" t="s">
        <v>10</v>
      </c>
      <c r="B5" t="s">
        <v>1194</v>
      </c>
      <c r="C5" t="s">
        <v>1194</v>
      </c>
    </row>
    <row r="6" spans="1:3" x14ac:dyDescent="0.25">
      <c r="A6" t="s">
        <v>123</v>
      </c>
      <c r="B6" t="s">
        <v>676</v>
      </c>
      <c r="C6" t="s">
        <v>676</v>
      </c>
    </row>
    <row r="7" spans="1:3" x14ac:dyDescent="0.25">
      <c r="A7" t="s">
        <v>511</v>
      </c>
      <c r="B7" t="s">
        <v>677</v>
      </c>
      <c r="C7" t="s">
        <v>677</v>
      </c>
    </row>
    <row r="8" spans="1:3" x14ac:dyDescent="0.25">
      <c r="A8" t="s">
        <v>512</v>
      </c>
      <c r="B8" t="s">
        <v>1195</v>
      </c>
      <c r="C8" t="s">
        <v>1195</v>
      </c>
    </row>
    <row r="9" spans="1:3" x14ac:dyDescent="0.25">
      <c r="A9" t="s">
        <v>513</v>
      </c>
      <c r="B9" t="s">
        <v>678</v>
      </c>
      <c r="C9" t="s">
        <v>678</v>
      </c>
    </row>
    <row r="10" spans="1:3" x14ac:dyDescent="0.25">
      <c r="A10" t="s">
        <v>514</v>
      </c>
      <c r="B10" t="s">
        <v>679</v>
      </c>
      <c r="C10" t="s">
        <v>679</v>
      </c>
    </row>
  </sheetData>
  <dataConsolidate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11"/>
  <sheetViews>
    <sheetView workbookViewId="0">
      <selection activeCell="A12" sqref="A12"/>
    </sheetView>
  </sheetViews>
  <sheetFormatPr defaultColWidth="11.42578125" defaultRowHeight="15" x14ac:dyDescent="0.25"/>
  <cols>
    <col min="1" max="1" width="38.5703125" bestFit="1" customWidth="1"/>
    <col min="2" max="2" width="36.85546875" bestFit="1" customWidth="1"/>
    <col min="3" max="3" width="37.140625" bestFit="1" customWidth="1"/>
  </cols>
  <sheetData>
    <row r="1" spans="1:3" x14ac:dyDescent="0.25">
      <c r="A1" t="s">
        <v>17</v>
      </c>
    </row>
    <row r="3" spans="1:3" x14ac:dyDescent="0.25">
      <c r="A3" t="s">
        <v>0</v>
      </c>
      <c r="B3" t="s">
        <v>8</v>
      </c>
      <c r="C3" t="s">
        <v>4</v>
      </c>
    </row>
    <row r="4" spans="1:3" x14ac:dyDescent="0.25">
      <c r="A4" t="s">
        <v>11</v>
      </c>
      <c r="B4" t="s">
        <v>9</v>
      </c>
      <c r="C4" t="s">
        <v>6</v>
      </c>
    </row>
    <row r="5" spans="1:3" x14ac:dyDescent="0.25">
      <c r="A5" t="s">
        <v>122</v>
      </c>
      <c r="B5" t="s">
        <v>10</v>
      </c>
      <c r="C5" t="s">
        <v>6</v>
      </c>
    </row>
    <row r="6" spans="1:3" x14ac:dyDescent="0.25">
      <c r="A6" t="s">
        <v>124</v>
      </c>
      <c r="B6" t="s">
        <v>123</v>
      </c>
      <c r="C6" t="s">
        <v>510</v>
      </c>
    </row>
    <row r="7" spans="1:3" x14ac:dyDescent="0.25">
      <c r="A7" t="s">
        <v>515</v>
      </c>
      <c r="B7" t="s">
        <v>511</v>
      </c>
      <c r="C7" t="s">
        <v>508</v>
      </c>
    </row>
    <row r="8" spans="1:3" x14ac:dyDescent="0.25">
      <c r="A8" t="s">
        <v>516</v>
      </c>
      <c r="B8" t="s">
        <v>511</v>
      </c>
      <c r="C8" t="s">
        <v>509</v>
      </c>
    </row>
    <row r="9" spans="1:3" x14ac:dyDescent="0.25">
      <c r="A9" t="s">
        <v>517</v>
      </c>
      <c r="B9" t="s">
        <v>512</v>
      </c>
      <c r="C9" t="s">
        <v>508</v>
      </c>
    </row>
    <row r="10" spans="1:3" x14ac:dyDescent="0.25">
      <c r="A10" t="s">
        <v>518</v>
      </c>
      <c r="B10" t="s">
        <v>513</v>
      </c>
      <c r="C10" t="s">
        <v>7</v>
      </c>
    </row>
    <row r="11" spans="1:3" x14ac:dyDescent="0.25">
      <c r="A11" t="s">
        <v>519</v>
      </c>
      <c r="B11" t="s">
        <v>514</v>
      </c>
      <c r="C11" t="s">
        <v>7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B10"/>
  <sheetViews>
    <sheetView workbookViewId="0">
      <selection activeCell="A11" sqref="A11"/>
    </sheetView>
  </sheetViews>
  <sheetFormatPr defaultColWidth="11.42578125" defaultRowHeight="15" x14ac:dyDescent="0.25"/>
  <cols>
    <col min="1" max="1" width="36.85546875" bestFit="1" customWidth="1"/>
  </cols>
  <sheetData>
    <row r="1" spans="1:2" x14ac:dyDescent="0.25">
      <c r="A1" t="s">
        <v>182</v>
      </c>
    </row>
    <row r="3" spans="1:2" x14ac:dyDescent="0.25">
      <c r="A3" t="s">
        <v>0</v>
      </c>
      <c r="B3" t="s">
        <v>1</v>
      </c>
    </row>
    <row r="4" spans="1:2" x14ac:dyDescent="0.25">
      <c r="A4" t="s">
        <v>184</v>
      </c>
      <c r="B4" t="s">
        <v>376</v>
      </c>
    </row>
    <row r="5" spans="1:2" x14ac:dyDescent="0.25">
      <c r="A5" t="s">
        <v>185</v>
      </c>
      <c r="B5" t="s">
        <v>377</v>
      </c>
    </row>
    <row r="6" spans="1:2" x14ac:dyDescent="0.25">
      <c r="A6" t="s">
        <v>186</v>
      </c>
      <c r="B6" t="s">
        <v>378</v>
      </c>
    </row>
    <row r="7" spans="1:2" x14ac:dyDescent="0.25">
      <c r="A7" t="s">
        <v>1175</v>
      </c>
      <c r="B7" t="s">
        <v>1179</v>
      </c>
    </row>
    <row r="8" spans="1:2" x14ac:dyDescent="0.25">
      <c r="A8" t="s">
        <v>1176</v>
      </c>
      <c r="B8" t="s">
        <v>1180</v>
      </c>
    </row>
    <row r="9" spans="1:2" x14ac:dyDescent="0.25">
      <c r="A9" t="s">
        <v>1177</v>
      </c>
      <c r="B9" t="s">
        <v>1181</v>
      </c>
    </row>
    <row r="10" spans="1:2" x14ac:dyDescent="0.25">
      <c r="A10" t="s">
        <v>1178</v>
      </c>
      <c r="B10" t="s">
        <v>1182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C10"/>
  <sheetViews>
    <sheetView workbookViewId="0">
      <selection activeCell="A11" sqref="A11"/>
    </sheetView>
  </sheetViews>
  <sheetFormatPr defaultColWidth="11.42578125" defaultRowHeight="15" x14ac:dyDescent="0.25"/>
  <cols>
    <col min="1" max="1" width="37.5703125" bestFit="1" customWidth="1"/>
    <col min="2" max="3" width="36.85546875" bestFit="1" customWidth="1"/>
  </cols>
  <sheetData>
    <row r="1" spans="1:3" x14ac:dyDescent="0.25">
      <c r="A1" t="s">
        <v>187</v>
      </c>
    </row>
    <row r="3" spans="1:3" x14ac:dyDescent="0.25">
      <c r="A3" t="s">
        <v>0</v>
      </c>
      <c r="B3" t="s">
        <v>8</v>
      </c>
      <c r="C3" t="s">
        <v>182</v>
      </c>
    </row>
    <row r="4" spans="1:3" x14ac:dyDescent="0.25">
      <c r="A4" t="s">
        <v>189</v>
      </c>
      <c r="B4" t="s">
        <v>9</v>
      </c>
      <c r="C4" t="s">
        <v>184</v>
      </c>
    </row>
    <row r="5" spans="1:3" x14ac:dyDescent="0.25">
      <c r="A5" t="s">
        <v>190</v>
      </c>
      <c r="B5" t="s">
        <v>10</v>
      </c>
      <c r="C5" t="s">
        <v>185</v>
      </c>
    </row>
    <row r="6" spans="1:3" x14ac:dyDescent="0.25">
      <c r="A6" t="s">
        <v>191</v>
      </c>
      <c r="B6" t="s">
        <v>123</v>
      </c>
      <c r="C6" t="s">
        <v>186</v>
      </c>
    </row>
    <row r="7" spans="1:3" x14ac:dyDescent="0.25">
      <c r="A7" t="s">
        <v>1183</v>
      </c>
      <c r="B7" t="s">
        <v>511</v>
      </c>
      <c r="C7" t="s">
        <v>1175</v>
      </c>
    </row>
    <row r="8" spans="1:3" x14ac:dyDescent="0.25">
      <c r="A8" t="s">
        <v>1184</v>
      </c>
      <c r="B8" t="s">
        <v>512</v>
      </c>
      <c r="C8" t="s">
        <v>1176</v>
      </c>
    </row>
    <row r="9" spans="1:3" x14ac:dyDescent="0.25">
      <c r="A9" t="s">
        <v>1185</v>
      </c>
      <c r="B9" t="s">
        <v>513</v>
      </c>
      <c r="C9" t="s">
        <v>1177</v>
      </c>
    </row>
    <row r="10" spans="1:3" x14ac:dyDescent="0.25">
      <c r="A10" t="s">
        <v>1186</v>
      </c>
      <c r="B10" t="s">
        <v>514</v>
      </c>
      <c r="C10" t="s">
        <v>1178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4"/>
  <dimension ref="A1:D4"/>
  <sheetViews>
    <sheetView workbookViewId="0">
      <selection activeCell="A5" sqref="A5"/>
    </sheetView>
  </sheetViews>
  <sheetFormatPr defaultColWidth="11.42578125" defaultRowHeight="15" x14ac:dyDescent="0.25"/>
  <cols>
    <col min="1" max="1" width="43.85546875" customWidth="1"/>
    <col min="4" max="4" width="38.28515625" bestFit="1" customWidth="1"/>
  </cols>
  <sheetData>
    <row r="1" spans="1:4" x14ac:dyDescent="0.25">
      <c r="A1" t="s">
        <v>389</v>
      </c>
    </row>
    <row r="3" spans="1:4" x14ac:dyDescent="0.25">
      <c r="A3" t="s">
        <v>0</v>
      </c>
      <c r="B3" t="s">
        <v>397</v>
      </c>
      <c r="C3" t="s">
        <v>398</v>
      </c>
      <c r="D3" t="s">
        <v>401</v>
      </c>
    </row>
    <row r="4" spans="1:4" x14ac:dyDescent="0.25">
      <c r="A4" t="s">
        <v>396</v>
      </c>
      <c r="B4" t="s">
        <v>399</v>
      </c>
      <c r="C4" t="s">
        <v>400</v>
      </c>
      <c r="D4" t="s">
        <v>1101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F6"/>
  <sheetViews>
    <sheetView workbookViewId="0">
      <selection activeCell="A7" sqref="A7"/>
    </sheetView>
  </sheetViews>
  <sheetFormatPr defaultColWidth="11.42578125" defaultRowHeight="15" x14ac:dyDescent="0.25"/>
  <cols>
    <col min="1" max="1" width="40" customWidth="1"/>
    <col min="3" max="3" width="18.5703125" customWidth="1"/>
    <col min="4" max="4" width="18.140625" customWidth="1"/>
    <col min="5" max="5" width="17.7109375" bestFit="1" customWidth="1"/>
    <col min="6" max="6" width="39.7109375" customWidth="1"/>
  </cols>
  <sheetData>
    <row r="1" spans="1:6" x14ac:dyDescent="0.25">
      <c r="A1" t="s">
        <v>385</v>
      </c>
    </row>
    <row r="3" spans="1:6" x14ac:dyDescent="0.25">
      <c r="A3" t="s">
        <v>0</v>
      </c>
      <c r="B3" t="s">
        <v>1</v>
      </c>
      <c r="C3" t="s">
        <v>386</v>
      </c>
      <c r="D3" t="s">
        <v>387</v>
      </c>
      <c r="E3" t="s">
        <v>388</v>
      </c>
      <c r="F3" t="s">
        <v>389</v>
      </c>
    </row>
    <row r="4" spans="1:6" x14ac:dyDescent="0.25">
      <c r="A4" t="s">
        <v>394</v>
      </c>
      <c r="B4" t="s">
        <v>219</v>
      </c>
      <c r="C4" t="s">
        <v>390</v>
      </c>
      <c r="D4" t="s">
        <v>391</v>
      </c>
      <c r="E4" t="s">
        <v>392</v>
      </c>
      <c r="F4" t="s">
        <v>396</v>
      </c>
    </row>
    <row r="5" spans="1:6" x14ac:dyDescent="0.25">
      <c r="A5" t="s">
        <v>402</v>
      </c>
      <c r="B5" t="s">
        <v>403</v>
      </c>
      <c r="C5" t="s">
        <v>404</v>
      </c>
      <c r="D5" t="s">
        <v>406</v>
      </c>
      <c r="E5" t="s">
        <v>405</v>
      </c>
      <c r="F5" t="s">
        <v>396</v>
      </c>
    </row>
    <row r="6" spans="1:6" x14ac:dyDescent="0.25">
      <c r="A6" t="s">
        <v>769</v>
      </c>
      <c r="B6" t="s">
        <v>765</v>
      </c>
      <c r="C6" t="s">
        <v>766</v>
      </c>
      <c r="D6" t="s">
        <v>767</v>
      </c>
      <c r="E6" t="s">
        <v>768</v>
      </c>
      <c r="F6" t="s">
        <v>396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5"/>
  <sheetViews>
    <sheetView workbookViewId="0">
      <selection activeCell="A6" sqref="A6"/>
    </sheetView>
  </sheetViews>
  <sheetFormatPr defaultColWidth="11.42578125" defaultRowHeight="15" x14ac:dyDescent="0.25"/>
  <cols>
    <col min="1" max="1" width="36.85546875" bestFit="1" customWidth="1"/>
  </cols>
  <sheetData>
    <row r="1" spans="1:3" x14ac:dyDescent="0.25">
      <c r="A1" t="s">
        <v>12</v>
      </c>
    </row>
    <row r="3" spans="1:3" x14ac:dyDescent="0.25">
      <c r="A3" t="s">
        <v>0</v>
      </c>
      <c r="B3" t="s">
        <v>1</v>
      </c>
      <c r="C3" t="s">
        <v>2</v>
      </c>
    </row>
    <row r="4" spans="1:3" x14ac:dyDescent="0.25">
      <c r="A4" t="s">
        <v>13</v>
      </c>
      <c r="B4" t="s">
        <v>219</v>
      </c>
      <c r="C4" t="s">
        <v>219</v>
      </c>
    </row>
    <row r="5" spans="1:3" x14ac:dyDescent="0.25">
      <c r="A5" t="s">
        <v>14</v>
      </c>
      <c r="B5" t="s">
        <v>220</v>
      </c>
      <c r="C5" t="s">
        <v>220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6"/>
  <sheetViews>
    <sheetView workbookViewId="0">
      <selection activeCell="A7" sqref="A7"/>
    </sheetView>
  </sheetViews>
  <sheetFormatPr defaultColWidth="11.42578125" defaultRowHeight="15" x14ac:dyDescent="0.25"/>
  <cols>
    <col min="1" max="1" width="37" bestFit="1" customWidth="1"/>
    <col min="2" max="2" width="14.7109375" bestFit="1" customWidth="1"/>
    <col min="3" max="3" width="34.140625" customWidth="1"/>
  </cols>
  <sheetData>
    <row r="1" spans="1:3" x14ac:dyDescent="0.25">
      <c r="A1" t="s">
        <v>15</v>
      </c>
    </row>
    <row r="3" spans="1:3" x14ac:dyDescent="0.25">
      <c r="A3" t="s">
        <v>0</v>
      </c>
      <c r="B3" t="s">
        <v>1</v>
      </c>
      <c r="C3" t="s">
        <v>385</v>
      </c>
    </row>
    <row r="4" spans="1:3" x14ac:dyDescent="0.25">
      <c r="A4" t="s">
        <v>16</v>
      </c>
      <c r="B4" t="s">
        <v>221</v>
      </c>
      <c r="C4" t="s">
        <v>394</v>
      </c>
    </row>
    <row r="5" spans="1:3" x14ac:dyDescent="0.25">
      <c r="A5" t="s">
        <v>408</v>
      </c>
      <c r="B5" t="s">
        <v>407</v>
      </c>
      <c r="C5" t="s">
        <v>402</v>
      </c>
    </row>
    <row r="6" spans="1:3" x14ac:dyDescent="0.25">
      <c r="A6" t="s">
        <v>763</v>
      </c>
      <c r="B6" t="s">
        <v>764</v>
      </c>
      <c r="C6" t="s">
        <v>769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5"/>
  <sheetViews>
    <sheetView workbookViewId="0">
      <selection activeCell="A6" sqref="A6"/>
    </sheetView>
  </sheetViews>
  <sheetFormatPr defaultColWidth="11.42578125" defaultRowHeight="15" x14ac:dyDescent="0.25"/>
  <cols>
    <col min="1" max="1" width="37.5703125" bestFit="1" customWidth="1"/>
    <col min="2" max="2" width="36.85546875" bestFit="1" customWidth="1"/>
    <col min="3" max="3" width="37.140625" bestFit="1" customWidth="1"/>
  </cols>
  <sheetData>
    <row r="1" spans="1:4" x14ac:dyDescent="0.25">
      <c r="A1" t="s">
        <v>18</v>
      </c>
    </row>
    <row r="2" spans="1:4" x14ac:dyDescent="0.25">
      <c r="D2" t="s">
        <v>5</v>
      </c>
    </row>
    <row r="3" spans="1:4" x14ac:dyDescent="0.25">
      <c r="A3" t="s">
        <v>0</v>
      </c>
      <c r="B3" t="s">
        <v>12</v>
      </c>
      <c r="C3" t="s">
        <v>15</v>
      </c>
      <c r="D3" t="s">
        <v>19</v>
      </c>
    </row>
    <row r="4" spans="1:4" x14ac:dyDescent="0.25">
      <c r="A4" t="s">
        <v>23</v>
      </c>
      <c r="B4" t="s">
        <v>13</v>
      </c>
      <c r="C4" t="s">
        <v>16</v>
      </c>
      <c r="D4">
        <v>1</v>
      </c>
    </row>
    <row r="5" spans="1:4" x14ac:dyDescent="0.25">
      <c r="A5" t="s">
        <v>414</v>
      </c>
      <c r="B5" t="s">
        <v>14</v>
      </c>
      <c r="C5" t="s">
        <v>408</v>
      </c>
      <c r="D5">
        <v>1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D5"/>
  <sheetViews>
    <sheetView workbookViewId="0">
      <selection activeCell="A6" sqref="A6"/>
    </sheetView>
  </sheetViews>
  <sheetFormatPr defaultColWidth="11.42578125" defaultRowHeight="15" x14ac:dyDescent="0.25"/>
  <cols>
    <col min="1" max="1" width="37" bestFit="1" customWidth="1"/>
    <col min="2" max="3" width="13.140625" bestFit="1" customWidth="1"/>
    <col min="4" max="4" width="37" customWidth="1"/>
  </cols>
  <sheetData>
    <row r="1" spans="1:4" x14ac:dyDescent="0.25">
      <c r="A1" t="s">
        <v>20</v>
      </c>
    </row>
    <row r="3" spans="1:4" x14ac:dyDescent="0.25">
      <c r="A3" t="s">
        <v>0</v>
      </c>
      <c r="B3" t="s">
        <v>1</v>
      </c>
      <c r="C3" t="s">
        <v>2</v>
      </c>
      <c r="D3" t="s">
        <v>53</v>
      </c>
    </row>
    <row r="4" spans="1:4" x14ac:dyDescent="0.25">
      <c r="A4" t="s">
        <v>21</v>
      </c>
      <c r="B4" t="s">
        <v>222</v>
      </c>
      <c r="C4" t="s">
        <v>222</v>
      </c>
      <c r="D4" t="s">
        <v>763</v>
      </c>
    </row>
    <row r="5" spans="1:4" x14ac:dyDescent="0.25">
      <c r="A5" t="s">
        <v>432</v>
      </c>
      <c r="B5" t="s">
        <v>433</v>
      </c>
      <c r="C5" t="s">
        <v>433</v>
      </c>
      <c r="D5" t="s">
        <v>763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C4"/>
  <sheetViews>
    <sheetView workbookViewId="0">
      <selection activeCell="A5" sqref="A5"/>
    </sheetView>
  </sheetViews>
  <sheetFormatPr defaultColWidth="11.42578125" defaultRowHeight="15" x14ac:dyDescent="0.25"/>
  <cols>
    <col min="1" max="1" width="37.5703125" bestFit="1" customWidth="1"/>
    <col min="2" max="2" width="37" bestFit="1" customWidth="1"/>
    <col min="3" max="3" width="36.7109375" bestFit="1" customWidth="1"/>
  </cols>
  <sheetData>
    <row r="1" spans="1:3" x14ac:dyDescent="0.25">
      <c r="A1" t="s">
        <v>22</v>
      </c>
    </row>
    <row r="3" spans="1:3" x14ac:dyDescent="0.25">
      <c r="A3" t="s">
        <v>0</v>
      </c>
      <c r="B3" t="s">
        <v>12</v>
      </c>
      <c r="C3" t="s">
        <v>20</v>
      </c>
    </row>
    <row r="4" spans="1:3" x14ac:dyDescent="0.25">
      <c r="A4" t="s">
        <v>24</v>
      </c>
      <c r="B4" t="s">
        <v>13</v>
      </c>
      <c r="C4" t="s">
        <v>21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C4"/>
  <sheetViews>
    <sheetView workbookViewId="0">
      <selection activeCell="A5" sqref="A5"/>
    </sheetView>
  </sheetViews>
  <sheetFormatPr defaultColWidth="11.42578125" defaultRowHeight="15" x14ac:dyDescent="0.25"/>
  <cols>
    <col min="1" max="1" width="37.28515625" bestFit="1" customWidth="1"/>
  </cols>
  <sheetData>
    <row r="1" spans="1:3" x14ac:dyDescent="0.25">
      <c r="A1" t="s">
        <v>130</v>
      </c>
    </row>
    <row r="3" spans="1:3" x14ac:dyDescent="0.25">
      <c r="A3" t="s">
        <v>0</v>
      </c>
      <c r="B3" t="s">
        <v>1</v>
      </c>
      <c r="C3" t="s">
        <v>2</v>
      </c>
    </row>
    <row r="4" spans="1:3" x14ac:dyDescent="0.25">
      <c r="A4" t="s">
        <v>430</v>
      </c>
      <c r="B4" t="s">
        <v>429</v>
      </c>
      <c r="C4" t="s">
        <v>429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G6"/>
  <sheetViews>
    <sheetView workbookViewId="0">
      <selection activeCell="A7" sqref="A7"/>
    </sheetView>
  </sheetViews>
  <sheetFormatPr defaultColWidth="11.42578125" defaultRowHeight="15" x14ac:dyDescent="0.25"/>
  <cols>
    <col min="1" max="1" width="36.7109375" bestFit="1" customWidth="1"/>
    <col min="2" max="2" width="17.140625" customWidth="1"/>
    <col min="3" max="3" width="16.28515625" customWidth="1"/>
    <col min="4" max="4" width="18.85546875" customWidth="1"/>
    <col min="5" max="5" width="18.5703125" customWidth="1"/>
    <col min="6" max="6" width="16.85546875" customWidth="1"/>
  </cols>
  <sheetData>
    <row r="1" spans="1:7" x14ac:dyDescent="0.25">
      <c r="A1" t="s">
        <v>45</v>
      </c>
    </row>
    <row r="2" spans="1:7" x14ac:dyDescent="0.25">
      <c r="D2" t="s">
        <v>5</v>
      </c>
    </row>
    <row r="3" spans="1:7" x14ac:dyDescent="0.25">
      <c r="A3" t="s">
        <v>0</v>
      </c>
      <c r="B3" t="s">
        <v>1</v>
      </c>
      <c r="C3" t="s">
        <v>2</v>
      </c>
      <c r="D3" t="s">
        <v>428</v>
      </c>
      <c r="E3" t="s">
        <v>692</v>
      </c>
      <c r="F3" t="s">
        <v>693</v>
      </c>
      <c r="G3" t="s">
        <v>694</v>
      </c>
    </row>
    <row r="4" spans="1:7" x14ac:dyDescent="0.25">
      <c r="A4" t="s">
        <v>46</v>
      </c>
      <c r="B4" t="s">
        <v>223</v>
      </c>
      <c r="C4" t="s">
        <v>223</v>
      </c>
      <c r="D4">
        <v>0</v>
      </c>
    </row>
    <row r="5" spans="1:7" x14ac:dyDescent="0.25">
      <c r="A5" t="s">
        <v>412</v>
      </c>
      <c r="B5" t="s">
        <v>413</v>
      </c>
      <c r="C5" t="s">
        <v>413</v>
      </c>
      <c r="D5">
        <v>0</v>
      </c>
    </row>
    <row r="6" spans="1:7" x14ac:dyDescent="0.25">
      <c r="A6" t="s">
        <v>426</v>
      </c>
      <c r="B6" t="s">
        <v>427</v>
      </c>
      <c r="C6" t="s">
        <v>427</v>
      </c>
      <c r="D6">
        <v>1</v>
      </c>
      <c r="E6">
        <v>7.7339456192779998</v>
      </c>
      <c r="F6">
        <v>47.444483916858999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F4"/>
  <sheetViews>
    <sheetView workbookViewId="0">
      <selection activeCell="A5" sqref="A5"/>
    </sheetView>
  </sheetViews>
  <sheetFormatPr defaultColWidth="11.42578125" defaultRowHeight="15" x14ac:dyDescent="0.25"/>
  <cols>
    <col min="1" max="1" width="36.7109375" bestFit="1" customWidth="1"/>
    <col min="2" max="2" width="18.140625" customWidth="1"/>
    <col min="4" max="4" width="36.7109375" bestFit="1" customWidth="1"/>
    <col min="5" max="5" width="38.42578125" customWidth="1"/>
    <col min="6" max="6" width="63.28515625" bestFit="1" customWidth="1"/>
  </cols>
  <sheetData>
    <row r="1" spans="1:6" x14ac:dyDescent="0.25">
      <c r="A1" t="s">
        <v>42</v>
      </c>
    </row>
    <row r="3" spans="1:6" x14ac:dyDescent="0.25">
      <c r="A3" t="s">
        <v>0</v>
      </c>
      <c r="B3" t="s">
        <v>1</v>
      </c>
      <c r="C3" t="s">
        <v>2</v>
      </c>
      <c r="D3" t="s">
        <v>45</v>
      </c>
      <c r="E3" t="s">
        <v>53</v>
      </c>
      <c r="F3" t="s">
        <v>1211</v>
      </c>
    </row>
    <row r="4" spans="1:6" x14ac:dyDescent="0.25">
      <c r="A4" t="s">
        <v>425</v>
      </c>
      <c r="B4" t="s">
        <v>423</v>
      </c>
      <c r="C4" t="s">
        <v>423</v>
      </c>
      <c r="D4" t="s">
        <v>426</v>
      </c>
      <c r="E4" t="s">
        <v>763</v>
      </c>
      <c r="F4" t="s">
        <v>1212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G6"/>
  <sheetViews>
    <sheetView workbookViewId="0">
      <selection activeCell="A7" sqref="A7"/>
    </sheetView>
  </sheetViews>
  <sheetFormatPr defaultColWidth="11.42578125" defaultRowHeight="15" x14ac:dyDescent="0.25"/>
  <cols>
    <col min="1" max="1" width="36.7109375" bestFit="1" customWidth="1"/>
    <col min="2" max="2" width="14.140625" customWidth="1"/>
    <col min="3" max="3" width="14" customWidth="1"/>
    <col min="4" max="4" width="38.85546875" bestFit="1" customWidth="1"/>
    <col min="5" max="5" width="38.7109375" bestFit="1" customWidth="1"/>
    <col min="6" max="6" width="38.140625" bestFit="1" customWidth="1"/>
    <col min="7" max="7" width="38.7109375" customWidth="1"/>
  </cols>
  <sheetData>
    <row r="1" spans="1:7" x14ac:dyDescent="0.25">
      <c r="A1" t="s">
        <v>35</v>
      </c>
    </row>
    <row r="3" spans="1:7" x14ac:dyDescent="0.25">
      <c r="A3" t="s">
        <v>0</v>
      </c>
      <c r="B3" t="s">
        <v>1</v>
      </c>
      <c r="C3" t="s">
        <v>2</v>
      </c>
      <c r="D3" t="s">
        <v>40</v>
      </c>
      <c r="E3" t="s">
        <v>43</v>
      </c>
      <c r="F3" t="s">
        <v>42</v>
      </c>
      <c r="G3" t="s">
        <v>1643</v>
      </c>
    </row>
    <row r="4" spans="1:7" x14ac:dyDescent="0.25">
      <c r="A4" t="s">
        <v>36</v>
      </c>
      <c r="B4" t="s">
        <v>321</v>
      </c>
      <c r="C4" t="s">
        <v>321</v>
      </c>
      <c r="D4" s="1" t="s">
        <v>41</v>
      </c>
      <c r="E4" s="1" t="s">
        <v>44</v>
      </c>
      <c r="F4" t="s">
        <v>425</v>
      </c>
      <c r="G4" t="s">
        <v>100</v>
      </c>
    </row>
    <row r="5" spans="1:7" ht="14.25" customHeight="1" x14ac:dyDescent="0.25">
      <c r="A5" t="s">
        <v>319</v>
      </c>
      <c r="B5" t="s">
        <v>322</v>
      </c>
      <c r="C5" t="s">
        <v>322</v>
      </c>
      <c r="D5" s="5" t="s">
        <v>320</v>
      </c>
      <c r="E5" s="1" t="s">
        <v>44</v>
      </c>
      <c r="F5" t="s">
        <v>425</v>
      </c>
      <c r="G5" t="s">
        <v>100</v>
      </c>
    </row>
    <row r="6" spans="1:7" ht="14.25" customHeight="1" x14ac:dyDescent="0.25">
      <c r="A6" t="s">
        <v>1645</v>
      </c>
      <c r="B6" t="s">
        <v>1641</v>
      </c>
      <c r="C6" t="s">
        <v>1641</v>
      </c>
      <c r="D6" s="1" t="s">
        <v>41</v>
      </c>
      <c r="E6" s="1" t="s">
        <v>1642</v>
      </c>
      <c r="F6" t="s">
        <v>425</v>
      </c>
      <c r="G6" t="s">
        <v>1644</v>
      </c>
    </row>
  </sheetData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C5"/>
  <sheetViews>
    <sheetView workbookViewId="0">
      <selection activeCell="A6" sqref="A6"/>
    </sheetView>
  </sheetViews>
  <sheetFormatPr defaultColWidth="11.42578125" defaultRowHeight="15" x14ac:dyDescent="0.25"/>
  <cols>
    <col min="1" max="1" width="37.28515625" bestFit="1" customWidth="1"/>
    <col min="2" max="2" width="37" bestFit="1" customWidth="1"/>
    <col min="3" max="3" width="36.7109375" bestFit="1" customWidth="1"/>
    <col min="4" max="4" width="38.7109375" bestFit="1" customWidth="1"/>
    <col min="5" max="5" width="38.140625" bestFit="1" customWidth="1"/>
  </cols>
  <sheetData>
    <row r="1" spans="1:3" x14ac:dyDescent="0.25">
      <c r="A1" t="s">
        <v>39</v>
      </c>
    </row>
    <row r="3" spans="1:3" x14ac:dyDescent="0.25">
      <c r="A3" t="s">
        <v>0</v>
      </c>
      <c r="B3" t="s">
        <v>35</v>
      </c>
      <c r="C3" t="s">
        <v>20</v>
      </c>
    </row>
    <row r="4" spans="1:3" x14ac:dyDescent="0.25">
      <c r="A4" t="s">
        <v>38</v>
      </c>
      <c r="B4" t="s">
        <v>36</v>
      </c>
      <c r="C4" t="s">
        <v>21</v>
      </c>
    </row>
    <row r="5" spans="1:3" x14ac:dyDescent="0.25">
      <c r="A5" t="s">
        <v>323</v>
      </c>
      <c r="B5" t="s">
        <v>319</v>
      </c>
      <c r="C5" t="s">
        <v>21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K5"/>
  <sheetViews>
    <sheetView workbookViewId="0">
      <selection activeCell="A6" sqref="A6"/>
    </sheetView>
  </sheetViews>
  <sheetFormatPr defaultColWidth="11.42578125" defaultRowHeight="15" x14ac:dyDescent="0.25"/>
  <cols>
    <col min="1" max="1" width="37.7109375" bestFit="1" customWidth="1"/>
    <col min="2" max="2" width="37.42578125" bestFit="1" customWidth="1"/>
    <col min="3" max="3" width="38.28515625" bestFit="1" customWidth="1"/>
    <col min="6" max="6" width="28.28515625" bestFit="1" customWidth="1"/>
    <col min="7" max="7" width="28.28515625" customWidth="1"/>
    <col min="8" max="8" width="13.5703125" bestFit="1" customWidth="1"/>
    <col min="10" max="10" width="38" bestFit="1" customWidth="1"/>
    <col min="11" max="11" width="38.85546875" bestFit="1" customWidth="1"/>
  </cols>
  <sheetData>
    <row r="1" spans="1:11" x14ac:dyDescent="0.25">
      <c r="A1" t="s">
        <v>324</v>
      </c>
    </row>
    <row r="3" spans="1:11" x14ac:dyDescent="0.25">
      <c r="A3" t="s">
        <v>0</v>
      </c>
      <c r="B3" t="s">
        <v>35</v>
      </c>
      <c r="C3" t="s">
        <v>331</v>
      </c>
      <c r="D3" t="s">
        <v>1</v>
      </c>
      <c r="E3" t="s">
        <v>2</v>
      </c>
      <c r="F3" t="s">
        <v>332</v>
      </c>
      <c r="G3" t="s">
        <v>1105</v>
      </c>
      <c r="H3" t="s">
        <v>333</v>
      </c>
      <c r="I3" t="s">
        <v>334</v>
      </c>
      <c r="J3" t="s">
        <v>95</v>
      </c>
      <c r="K3" t="s">
        <v>40</v>
      </c>
    </row>
    <row r="4" spans="1:11" x14ac:dyDescent="0.25">
      <c r="A4" t="s">
        <v>328</v>
      </c>
      <c r="B4" t="s">
        <v>36</v>
      </c>
      <c r="C4" t="s">
        <v>330</v>
      </c>
      <c r="D4" t="s">
        <v>335</v>
      </c>
      <c r="E4" t="s">
        <v>335</v>
      </c>
      <c r="F4">
        <v>1</v>
      </c>
      <c r="G4" t="s">
        <v>1106</v>
      </c>
      <c r="H4" t="s">
        <v>337</v>
      </c>
      <c r="I4">
        <v>160</v>
      </c>
      <c r="J4" t="s">
        <v>99</v>
      </c>
      <c r="K4" s="1" t="s">
        <v>41</v>
      </c>
    </row>
    <row r="5" spans="1:11" x14ac:dyDescent="0.25">
      <c r="A5" t="s">
        <v>329</v>
      </c>
      <c r="B5" t="s">
        <v>319</v>
      </c>
      <c r="C5" t="s">
        <v>330</v>
      </c>
      <c r="D5" t="s">
        <v>336</v>
      </c>
      <c r="E5" t="s">
        <v>336</v>
      </c>
      <c r="F5">
        <v>1</v>
      </c>
      <c r="G5" t="s">
        <v>1106</v>
      </c>
      <c r="H5" t="s">
        <v>337</v>
      </c>
      <c r="I5">
        <v>160</v>
      </c>
      <c r="J5" t="s">
        <v>99</v>
      </c>
      <c r="K5" t="s">
        <v>320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3"/>
  <dimension ref="A1:K5"/>
  <sheetViews>
    <sheetView workbookViewId="0">
      <selection activeCell="A6" sqref="A6"/>
    </sheetView>
  </sheetViews>
  <sheetFormatPr defaultColWidth="11.42578125" defaultRowHeight="15" x14ac:dyDescent="0.25"/>
  <cols>
    <col min="1" max="1" width="37.7109375" bestFit="1" customWidth="1"/>
    <col min="2" max="2" width="37.42578125" bestFit="1" customWidth="1"/>
    <col min="3" max="3" width="38.28515625" bestFit="1" customWidth="1"/>
    <col min="6" max="6" width="28.28515625" bestFit="1" customWidth="1"/>
    <col min="7" max="7" width="28.28515625" customWidth="1"/>
    <col min="8" max="8" width="13.5703125" bestFit="1" customWidth="1"/>
    <col min="10" max="10" width="38" bestFit="1" customWidth="1"/>
    <col min="11" max="11" width="38.85546875" bestFit="1" customWidth="1"/>
  </cols>
  <sheetData>
    <row r="1" spans="1:11" x14ac:dyDescent="0.25">
      <c r="A1" t="s">
        <v>1856</v>
      </c>
    </row>
    <row r="3" spans="1:11" x14ac:dyDescent="0.25">
      <c r="A3" t="s">
        <v>0</v>
      </c>
      <c r="B3" t="s">
        <v>130</v>
      </c>
      <c r="C3" t="s">
        <v>20</v>
      </c>
    </row>
    <row r="4" spans="1:11" x14ac:dyDescent="0.25">
      <c r="A4" t="s">
        <v>1857</v>
      </c>
      <c r="B4" t="s">
        <v>430</v>
      </c>
      <c r="C4" t="s">
        <v>21</v>
      </c>
      <c r="K4" s="1"/>
    </row>
    <row r="5" spans="1:11" x14ac:dyDescent="0.25">
      <c r="A5" t="s">
        <v>329</v>
      </c>
      <c r="B5" t="s">
        <v>430</v>
      </c>
      <c r="C5" t="s">
        <v>432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E5"/>
  <sheetViews>
    <sheetView workbookViewId="0">
      <selection activeCell="A6" sqref="A6"/>
    </sheetView>
  </sheetViews>
  <sheetFormatPr defaultColWidth="11.42578125" defaultRowHeight="15" x14ac:dyDescent="0.25"/>
  <cols>
    <col min="1" max="1" width="37.7109375" bestFit="1" customWidth="1"/>
    <col min="2" max="2" width="37.42578125" bestFit="1" customWidth="1"/>
    <col min="3" max="3" width="36.7109375" bestFit="1" customWidth="1"/>
    <col min="5" max="5" width="17.7109375" customWidth="1"/>
  </cols>
  <sheetData>
    <row r="1" spans="1:5" x14ac:dyDescent="0.25">
      <c r="A1" t="s">
        <v>48</v>
      </c>
    </row>
    <row r="3" spans="1:5" x14ac:dyDescent="0.25">
      <c r="A3" t="s">
        <v>0</v>
      </c>
      <c r="B3" t="s">
        <v>12</v>
      </c>
      <c r="C3" t="s">
        <v>45</v>
      </c>
      <c r="D3" t="s">
        <v>1</v>
      </c>
      <c r="E3" t="s">
        <v>2</v>
      </c>
    </row>
    <row r="4" spans="1:5" x14ac:dyDescent="0.25">
      <c r="A4" t="s">
        <v>49</v>
      </c>
      <c r="B4" t="s">
        <v>13</v>
      </c>
      <c r="C4" t="s">
        <v>46</v>
      </c>
      <c r="D4">
        <v>1</v>
      </c>
      <c r="E4" t="s">
        <v>224</v>
      </c>
    </row>
    <row r="5" spans="1:5" x14ac:dyDescent="0.25">
      <c r="A5" t="s">
        <v>410</v>
      </c>
      <c r="B5" t="s">
        <v>14</v>
      </c>
      <c r="C5" t="s">
        <v>412</v>
      </c>
      <c r="D5">
        <v>2</v>
      </c>
      <c r="E5" t="s">
        <v>411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D4"/>
  <sheetViews>
    <sheetView workbookViewId="0">
      <selection activeCell="A5" sqref="A5"/>
    </sheetView>
  </sheetViews>
  <sheetFormatPr defaultColWidth="11.42578125" defaultRowHeight="15" x14ac:dyDescent="0.25"/>
  <cols>
    <col min="1" max="1" width="37.28515625" bestFit="1" customWidth="1"/>
    <col min="2" max="2" width="37" bestFit="1" customWidth="1"/>
    <col min="3" max="3" width="36.7109375" bestFit="1" customWidth="1"/>
  </cols>
  <sheetData>
    <row r="1" spans="1:4" x14ac:dyDescent="0.25">
      <c r="A1" t="s">
        <v>51</v>
      </c>
    </row>
    <row r="2" spans="1:4" x14ac:dyDescent="0.25">
      <c r="D2" t="s">
        <v>5</v>
      </c>
    </row>
    <row r="3" spans="1:4" x14ac:dyDescent="0.25">
      <c r="A3" t="s">
        <v>0</v>
      </c>
      <c r="B3" t="s">
        <v>48</v>
      </c>
      <c r="C3" t="s">
        <v>53</v>
      </c>
      <c r="D3" t="s">
        <v>19</v>
      </c>
    </row>
    <row r="4" spans="1:4" x14ac:dyDescent="0.25">
      <c r="A4" t="s">
        <v>52</v>
      </c>
      <c r="B4" t="s">
        <v>49</v>
      </c>
      <c r="C4" t="s">
        <v>408</v>
      </c>
      <c r="D4">
        <v>1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D8"/>
  <sheetViews>
    <sheetView workbookViewId="0">
      <selection activeCell="A9" sqref="A9"/>
    </sheetView>
  </sheetViews>
  <sheetFormatPr defaultColWidth="11.42578125" defaultRowHeight="15" x14ac:dyDescent="0.25"/>
  <cols>
    <col min="1" max="1" width="36.85546875" bestFit="1" customWidth="1"/>
    <col min="2" max="2" width="15.42578125" customWidth="1"/>
    <col min="3" max="3" width="19.5703125" customWidth="1"/>
    <col min="4" max="4" width="38.42578125" bestFit="1" customWidth="1"/>
  </cols>
  <sheetData>
    <row r="1" spans="1:4" x14ac:dyDescent="0.25">
      <c r="A1" t="s">
        <v>58</v>
      </c>
    </row>
    <row r="3" spans="1:4" x14ac:dyDescent="0.25">
      <c r="A3" t="s">
        <v>0</v>
      </c>
      <c r="B3" t="s">
        <v>1</v>
      </c>
      <c r="C3" t="s">
        <v>2</v>
      </c>
      <c r="D3" t="s">
        <v>67</v>
      </c>
    </row>
    <row r="4" spans="1:4" x14ac:dyDescent="0.25">
      <c r="A4" t="s">
        <v>111</v>
      </c>
      <c r="B4" t="s">
        <v>225</v>
      </c>
      <c r="C4" t="s">
        <v>227</v>
      </c>
      <c r="D4" t="s">
        <v>100</v>
      </c>
    </row>
    <row r="5" spans="1:4" x14ac:dyDescent="0.25">
      <c r="A5" t="s">
        <v>112</v>
      </c>
      <c r="B5" t="s">
        <v>226</v>
      </c>
      <c r="C5" t="s">
        <v>228</v>
      </c>
      <c r="D5" t="s">
        <v>100</v>
      </c>
    </row>
    <row r="6" spans="1:4" x14ac:dyDescent="0.25">
      <c r="A6" t="s">
        <v>435</v>
      </c>
      <c r="B6" t="s">
        <v>439</v>
      </c>
      <c r="C6" t="s">
        <v>434</v>
      </c>
      <c r="D6" t="s">
        <v>100</v>
      </c>
    </row>
    <row r="7" spans="1:4" x14ac:dyDescent="0.25">
      <c r="A7" t="s">
        <v>441</v>
      </c>
      <c r="B7" t="s">
        <v>442</v>
      </c>
      <c r="C7" t="s">
        <v>443</v>
      </c>
      <c r="D7" t="s">
        <v>100</v>
      </c>
    </row>
    <row r="8" spans="1:4" x14ac:dyDescent="0.25">
      <c r="A8" t="s">
        <v>1107</v>
      </c>
      <c r="B8" t="s">
        <v>1108</v>
      </c>
      <c r="C8" t="s">
        <v>1108</v>
      </c>
      <c r="D8" t="s">
        <v>1095</v>
      </c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/>
  <dimension ref="A1:C8"/>
  <sheetViews>
    <sheetView workbookViewId="0">
      <selection activeCell="A9" sqref="A9"/>
    </sheetView>
  </sheetViews>
  <sheetFormatPr defaultColWidth="11.42578125" defaultRowHeight="15" x14ac:dyDescent="0.25"/>
  <cols>
    <col min="1" max="1" width="37.42578125" bestFit="1" customWidth="1"/>
    <col min="2" max="2" width="37.28515625" bestFit="1" customWidth="1"/>
    <col min="3" max="3" width="36.7109375" bestFit="1" customWidth="1"/>
  </cols>
  <sheetData>
    <row r="1" spans="1:3" x14ac:dyDescent="0.25">
      <c r="A1" t="s">
        <v>114</v>
      </c>
    </row>
    <row r="3" spans="1:3" x14ac:dyDescent="0.25">
      <c r="A3" t="s">
        <v>0</v>
      </c>
      <c r="B3" t="s">
        <v>58</v>
      </c>
      <c r="C3" t="s">
        <v>115</v>
      </c>
    </row>
    <row r="4" spans="1:3" x14ac:dyDescent="0.25">
      <c r="A4" t="s">
        <v>52</v>
      </c>
      <c r="B4" t="s">
        <v>116</v>
      </c>
      <c r="C4" t="s">
        <v>111</v>
      </c>
    </row>
    <row r="5" spans="1:3" x14ac:dyDescent="0.25">
      <c r="A5" t="s">
        <v>117</v>
      </c>
      <c r="B5" t="s">
        <v>116</v>
      </c>
      <c r="C5" t="s">
        <v>112</v>
      </c>
    </row>
    <row r="6" spans="1:3" x14ac:dyDescent="0.25">
      <c r="A6" t="s">
        <v>440</v>
      </c>
      <c r="B6" t="s">
        <v>116</v>
      </c>
      <c r="C6" t="s">
        <v>435</v>
      </c>
    </row>
    <row r="7" spans="1:3" x14ac:dyDescent="0.25">
      <c r="A7" t="s">
        <v>117</v>
      </c>
      <c r="B7" t="s">
        <v>116</v>
      </c>
      <c r="C7" t="s">
        <v>441</v>
      </c>
    </row>
    <row r="8" spans="1:3" x14ac:dyDescent="0.25">
      <c r="A8" t="s">
        <v>1109</v>
      </c>
      <c r="B8" t="s">
        <v>116</v>
      </c>
      <c r="C8" t="s">
        <v>1107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2"/>
  <dimension ref="A1:E4"/>
  <sheetViews>
    <sheetView workbookViewId="0">
      <selection activeCell="A5" sqref="A5"/>
    </sheetView>
  </sheetViews>
  <sheetFormatPr defaultColWidth="11.42578125" defaultRowHeight="15" x14ac:dyDescent="0.25"/>
  <cols>
    <col min="1" max="1" width="36.7109375" bestFit="1" customWidth="1"/>
    <col min="2" max="2" width="18.7109375" customWidth="1"/>
    <col min="3" max="3" width="17.7109375" bestFit="1" customWidth="1"/>
    <col min="4" max="5" width="38" bestFit="1" customWidth="1"/>
  </cols>
  <sheetData>
    <row r="1" spans="1:5" x14ac:dyDescent="0.25">
      <c r="A1" t="s">
        <v>493</v>
      </c>
    </row>
    <row r="3" spans="1:5" x14ac:dyDescent="0.25">
      <c r="A3" t="s">
        <v>0</v>
      </c>
      <c r="B3" t="s">
        <v>1</v>
      </c>
      <c r="C3" t="s">
        <v>2</v>
      </c>
    </row>
    <row r="4" spans="1:5" x14ac:dyDescent="0.25">
      <c r="A4" t="s">
        <v>1103</v>
      </c>
      <c r="B4" t="s">
        <v>1104</v>
      </c>
      <c r="C4" t="s">
        <v>1104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E16"/>
  <sheetViews>
    <sheetView workbookViewId="0">
      <selection activeCell="A17" sqref="A17"/>
    </sheetView>
  </sheetViews>
  <sheetFormatPr defaultColWidth="11.42578125" defaultRowHeight="15" x14ac:dyDescent="0.25"/>
  <cols>
    <col min="1" max="1" width="36.7109375" bestFit="1" customWidth="1"/>
    <col min="2" max="2" width="18.7109375" customWidth="1"/>
    <col min="3" max="3" width="17.7109375" bestFit="1" customWidth="1"/>
    <col min="4" max="5" width="38" bestFit="1" customWidth="1"/>
  </cols>
  <sheetData>
    <row r="1" spans="1:5" x14ac:dyDescent="0.25">
      <c r="A1" t="s">
        <v>55</v>
      </c>
    </row>
    <row r="3" spans="1:5" x14ac:dyDescent="0.25">
      <c r="A3" t="s">
        <v>0</v>
      </c>
      <c r="B3" t="s">
        <v>1</v>
      </c>
      <c r="C3" t="s">
        <v>2</v>
      </c>
      <c r="D3" t="s">
        <v>58</v>
      </c>
      <c r="E3" t="s">
        <v>493</v>
      </c>
    </row>
    <row r="4" spans="1:5" x14ac:dyDescent="0.25">
      <c r="A4" t="s">
        <v>57</v>
      </c>
      <c r="B4" t="s">
        <v>203</v>
      </c>
      <c r="C4" t="s">
        <v>211</v>
      </c>
      <c r="D4" t="s">
        <v>111</v>
      </c>
      <c r="E4" t="s">
        <v>1103</v>
      </c>
    </row>
    <row r="5" spans="1:5" x14ac:dyDescent="0.25">
      <c r="A5" t="s">
        <v>110</v>
      </c>
      <c r="B5" t="s">
        <v>204</v>
      </c>
      <c r="C5" t="s">
        <v>212</v>
      </c>
      <c r="D5" t="s">
        <v>111</v>
      </c>
      <c r="E5" t="s">
        <v>1103</v>
      </c>
    </row>
    <row r="6" spans="1:5" x14ac:dyDescent="0.25">
      <c r="A6" t="s">
        <v>120</v>
      </c>
      <c r="B6" t="s">
        <v>205</v>
      </c>
      <c r="C6" t="s">
        <v>213</v>
      </c>
      <c r="D6" t="s">
        <v>112</v>
      </c>
      <c r="E6" t="s">
        <v>1103</v>
      </c>
    </row>
    <row r="7" spans="1:5" x14ac:dyDescent="0.25">
      <c r="A7" t="s">
        <v>121</v>
      </c>
      <c r="B7" t="s">
        <v>206</v>
      </c>
      <c r="C7" t="s">
        <v>214</v>
      </c>
      <c r="D7" t="s">
        <v>112</v>
      </c>
      <c r="E7" t="s">
        <v>1103</v>
      </c>
    </row>
    <row r="8" spans="1:5" x14ac:dyDescent="0.25">
      <c r="A8" t="s">
        <v>166</v>
      </c>
      <c r="B8" t="s">
        <v>207</v>
      </c>
      <c r="C8" t="s">
        <v>215</v>
      </c>
      <c r="D8" t="s">
        <v>111</v>
      </c>
      <c r="E8" t="s">
        <v>1103</v>
      </c>
    </row>
    <row r="9" spans="1:5" x14ac:dyDescent="0.25">
      <c r="A9" t="s">
        <v>167</v>
      </c>
      <c r="B9" t="s">
        <v>208</v>
      </c>
      <c r="C9" t="s">
        <v>216</v>
      </c>
      <c r="D9" t="s">
        <v>111</v>
      </c>
      <c r="E9" t="s">
        <v>1103</v>
      </c>
    </row>
    <row r="10" spans="1:5" x14ac:dyDescent="0.25">
      <c r="A10" t="s">
        <v>168</v>
      </c>
      <c r="B10" t="s">
        <v>209</v>
      </c>
      <c r="C10" t="s">
        <v>217</v>
      </c>
      <c r="D10" t="s">
        <v>111</v>
      </c>
      <c r="E10" t="s">
        <v>1103</v>
      </c>
    </row>
    <row r="11" spans="1:5" x14ac:dyDescent="0.25">
      <c r="A11" t="s">
        <v>169</v>
      </c>
      <c r="B11" t="s">
        <v>210</v>
      </c>
      <c r="C11" t="s">
        <v>218</v>
      </c>
      <c r="D11" t="s">
        <v>111</v>
      </c>
      <c r="E11" t="s">
        <v>1103</v>
      </c>
    </row>
    <row r="12" spans="1:5" x14ac:dyDescent="0.25">
      <c r="A12" t="s">
        <v>436</v>
      </c>
      <c r="B12" t="s">
        <v>437</v>
      </c>
      <c r="C12" t="s">
        <v>438</v>
      </c>
      <c r="D12" t="s">
        <v>435</v>
      </c>
      <c r="E12" t="s">
        <v>1103</v>
      </c>
    </row>
    <row r="13" spans="1:5" x14ac:dyDescent="0.25">
      <c r="A13" t="s">
        <v>444</v>
      </c>
      <c r="B13" t="s">
        <v>445</v>
      </c>
      <c r="C13" t="s">
        <v>445</v>
      </c>
      <c r="D13" t="s">
        <v>441</v>
      </c>
      <c r="E13" t="s">
        <v>1103</v>
      </c>
    </row>
    <row r="14" spans="1:5" x14ac:dyDescent="0.25">
      <c r="A14" t="s">
        <v>446</v>
      </c>
      <c r="B14" t="s">
        <v>448</v>
      </c>
      <c r="C14" t="s">
        <v>448</v>
      </c>
      <c r="D14" t="s">
        <v>441</v>
      </c>
      <c r="E14" t="s">
        <v>1103</v>
      </c>
    </row>
    <row r="15" spans="1:5" x14ac:dyDescent="0.25">
      <c r="A15" t="s">
        <v>447</v>
      </c>
      <c r="B15" t="s">
        <v>449</v>
      </c>
      <c r="C15" t="s">
        <v>449</v>
      </c>
      <c r="D15" t="s">
        <v>441</v>
      </c>
      <c r="E15" t="s">
        <v>1103</v>
      </c>
    </row>
    <row r="16" spans="1:5" x14ac:dyDescent="0.25">
      <c r="A16" t="s">
        <v>1111</v>
      </c>
      <c r="B16" t="s">
        <v>1112</v>
      </c>
      <c r="C16" t="s">
        <v>1112</v>
      </c>
      <c r="D16" t="s">
        <v>1107</v>
      </c>
      <c r="E16" t="s">
        <v>1103</v>
      </c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D8"/>
  <sheetViews>
    <sheetView workbookViewId="0">
      <selection activeCell="A9" sqref="A9"/>
    </sheetView>
  </sheetViews>
  <sheetFormatPr defaultColWidth="11.42578125" defaultRowHeight="15" x14ac:dyDescent="0.25"/>
  <cols>
    <col min="1" max="1" width="36.85546875" bestFit="1" customWidth="1"/>
    <col min="2" max="2" width="38" bestFit="1" customWidth="1"/>
    <col min="3" max="3" width="14.7109375" bestFit="1" customWidth="1"/>
    <col min="4" max="4" width="36.7109375" bestFit="1" customWidth="1"/>
  </cols>
  <sheetData>
    <row r="1" spans="1:4" x14ac:dyDescent="0.25">
      <c r="A1" t="s">
        <v>62</v>
      </c>
    </row>
    <row r="2" spans="1:4" x14ac:dyDescent="0.25">
      <c r="C2" t="s">
        <v>60</v>
      </c>
    </row>
    <row r="3" spans="1:4" x14ac:dyDescent="0.25">
      <c r="A3" t="s">
        <v>0</v>
      </c>
      <c r="B3" t="s">
        <v>58</v>
      </c>
      <c r="C3" t="s">
        <v>59</v>
      </c>
      <c r="D3" t="s">
        <v>20</v>
      </c>
    </row>
    <row r="4" spans="1:4" x14ac:dyDescent="0.25">
      <c r="A4" t="s">
        <v>63</v>
      </c>
      <c r="B4" t="s">
        <v>111</v>
      </c>
      <c r="C4">
        <v>0.99</v>
      </c>
      <c r="D4" t="s">
        <v>21</v>
      </c>
    </row>
    <row r="5" spans="1:4" x14ac:dyDescent="0.25">
      <c r="A5" t="s">
        <v>119</v>
      </c>
      <c r="B5" t="s">
        <v>112</v>
      </c>
      <c r="C5">
        <v>1.99</v>
      </c>
      <c r="D5" t="s">
        <v>21</v>
      </c>
    </row>
    <row r="6" spans="1:4" x14ac:dyDescent="0.25">
      <c r="A6" t="s">
        <v>450</v>
      </c>
      <c r="B6" t="s">
        <v>435</v>
      </c>
      <c r="C6">
        <v>9.99</v>
      </c>
      <c r="D6" t="s">
        <v>432</v>
      </c>
    </row>
    <row r="7" spans="1:4" x14ac:dyDescent="0.25">
      <c r="A7" t="s">
        <v>451</v>
      </c>
      <c r="B7" t="s">
        <v>441</v>
      </c>
      <c r="C7">
        <v>5.99</v>
      </c>
      <c r="D7" t="s">
        <v>21</v>
      </c>
    </row>
    <row r="8" spans="1:4" x14ac:dyDescent="0.25">
      <c r="A8" t="s">
        <v>1110</v>
      </c>
      <c r="B8" t="s">
        <v>1107</v>
      </c>
      <c r="C8">
        <v>50</v>
      </c>
      <c r="D8" t="s">
        <v>21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F4"/>
  <sheetViews>
    <sheetView workbookViewId="0">
      <selection activeCell="A5" sqref="A5"/>
    </sheetView>
  </sheetViews>
  <sheetFormatPr defaultColWidth="11.42578125" defaultRowHeight="15" x14ac:dyDescent="0.25"/>
  <cols>
    <col min="1" max="1" width="36.85546875" bestFit="1" customWidth="1"/>
    <col min="2" max="2" width="24" customWidth="1"/>
    <col min="3" max="3" width="12.7109375" bestFit="1" customWidth="1"/>
    <col min="6" max="6" width="37.42578125" bestFit="1" customWidth="1"/>
  </cols>
  <sheetData>
    <row r="1" spans="1:6" x14ac:dyDescent="0.25">
      <c r="A1" t="s">
        <v>64</v>
      </c>
    </row>
    <row r="2" spans="1:6" x14ac:dyDescent="0.25">
      <c r="E2" t="s">
        <v>5</v>
      </c>
    </row>
    <row r="3" spans="1:6" x14ac:dyDescent="0.25">
      <c r="A3" t="s">
        <v>0</v>
      </c>
      <c r="B3" t="s">
        <v>1</v>
      </c>
      <c r="C3" t="s">
        <v>2</v>
      </c>
      <c r="D3" t="s">
        <v>65</v>
      </c>
      <c r="E3" t="s">
        <v>66</v>
      </c>
      <c r="F3" t="s">
        <v>67</v>
      </c>
    </row>
    <row r="4" spans="1:6" x14ac:dyDescent="0.25">
      <c r="A4" t="s">
        <v>71</v>
      </c>
      <c r="B4" t="s">
        <v>421</v>
      </c>
      <c r="C4" t="s">
        <v>422</v>
      </c>
      <c r="D4" t="s">
        <v>68</v>
      </c>
      <c r="E4">
        <v>2000</v>
      </c>
      <c r="F4" t="s">
        <v>69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E4"/>
  <sheetViews>
    <sheetView workbookViewId="0">
      <selection activeCell="A5" sqref="A5"/>
    </sheetView>
  </sheetViews>
  <sheetFormatPr defaultColWidth="11.42578125" defaultRowHeight="15" x14ac:dyDescent="0.25"/>
  <cols>
    <col min="1" max="1" width="37.28515625" bestFit="1" customWidth="1"/>
    <col min="2" max="2" width="37" bestFit="1" customWidth="1"/>
    <col min="3" max="3" width="36.7109375" bestFit="1" customWidth="1"/>
    <col min="4" max="4" width="15.7109375" customWidth="1"/>
    <col min="5" max="5" width="16.140625" customWidth="1"/>
  </cols>
  <sheetData>
    <row r="1" spans="1:5" x14ac:dyDescent="0.25">
      <c r="A1" t="s">
        <v>72</v>
      </c>
    </row>
    <row r="3" spans="1:5" x14ac:dyDescent="0.25">
      <c r="A3" t="s">
        <v>0</v>
      </c>
      <c r="B3" t="s">
        <v>35</v>
      </c>
      <c r="C3" t="s">
        <v>64</v>
      </c>
      <c r="D3" t="s">
        <v>1</v>
      </c>
      <c r="E3" t="s">
        <v>2</v>
      </c>
    </row>
    <row r="4" spans="1:5" x14ac:dyDescent="0.25">
      <c r="A4" t="s">
        <v>74</v>
      </c>
      <c r="B4" t="s">
        <v>36</v>
      </c>
      <c r="C4" t="s">
        <v>71</v>
      </c>
      <c r="D4" t="s">
        <v>229</v>
      </c>
      <c r="E4" t="s">
        <v>229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J4"/>
  <sheetViews>
    <sheetView workbookViewId="0">
      <selection activeCell="A5" sqref="A5"/>
    </sheetView>
  </sheetViews>
  <sheetFormatPr defaultColWidth="11.42578125" defaultRowHeight="15" x14ac:dyDescent="0.25"/>
  <cols>
    <col min="1" max="1" width="37" bestFit="1" customWidth="1"/>
    <col min="3" max="3" width="18.7109375" bestFit="1" customWidth="1"/>
    <col min="8" max="8" width="38.7109375" bestFit="1" customWidth="1"/>
    <col min="9" max="9" width="38.7109375" customWidth="1"/>
    <col min="10" max="10" width="19.5703125" bestFit="1" customWidth="1"/>
  </cols>
  <sheetData>
    <row r="1" spans="1:10" x14ac:dyDescent="0.25">
      <c r="A1" t="s">
        <v>75</v>
      </c>
    </row>
    <row r="2" spans="1:10" x14ac:dyDescent="0.25">
      <c r="D2" t="s">
        <v>5</v>
      </c>
      <c r="E2" t="s">
        <v>5</v>
      </c>
      <c r="F2" t="s">
        <v>5</v>
      </c>
      <c r="G2" t="s">
        <v>5</v>
      </c>
      <c r="J2" t="s">
        <v>5</v>
      </c>
    </row>
    <row r="3" spans="1:10" x14ac:dyDescent="0.25">
      <c r="A3" t="s">
        <v>0</v>
      </c>
      <c r="B3" t="s">
        <v>1</v>
      </c>
      <c r="C3" t="s">
        <v>2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20</v>
      </c>
      <c r="J3" t="s">
        <v>415</v>
      </c>
    </row>
    <row r="4" spans="1:10" x14ac:dyDescent="0.25">
      <c r="A4" t="s">
        <v>77</v>
      </c>
      <c r="B4" t="s">
        <v>78</v>
      </c>
      <c r="C4" t="s">
        <v>79</v>
      </c>
      <c r="D4">
        <v>6</v>
      </c>
      <c r="E4">
        <v>1</v>
      </c>
      <c r="F4">
        <v>1000000</v>
      </c>
      <c r="G4">
        <v>1</v>
      </c>
      <c r="H4" t="s">
        <v>85</v>
      </c>
      <c r="I4" t="s">
        <v>21</v>
      </c>
      <c r="J4">
        <v>1</v>
      </c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M11"/>
  <sheetViews>
    <sheetView workbookViewId="0">
      <selection activeCell="A12" sqref="A12"/>
    </sheetView>
  </sheetViews>
  <sheetFormatPr defaultColWidth="11.42578125" defaultRowHeight="15" x14ac:dyDescent="0.25"/>
  <cols>
    <col min="1" max="1" width="37.140625" bestFit="1" customWidth="1"/>
    <col min="4" max="4" width="16" customWidth="1"/>
    <col min="6" max="6" width="13.5703125" bestFit="1" customWidth="1"/>
    <col min="7" max="7" width="36.85546875" bestFit="1" customWidth="1"/>
    <col min="9" max="9" width="14.85546875" bestFit="1" customWidth="1"/>
    <col min="10" max="10" width="38" bestFit="1" customWidth="1"/>
    <col min="11" max="11" width="13.5703125" bestFit="1" customWidth="1"/>
    <col min="12" max="12" width="38.42578125" bestFit="1" customWidth="1"/>
    <col min="13" max="13" width="18.28515625" customWidth="1"/>
  </cols>
  <sheetData>
    <row r="1" spans="1:13" x14ac:dyDescent="0.25">
      <c r="A1" t="s">
        <v>86</v>
      </c>
    </row>
    <row r="2" spans="1:13" x14ac:dyDescent="0.25">
      <c r="D2" t="s">
        <v>60</v>
      </c>
      <c r="E2" t="s">
        <v>60</v>
      </c>
      <c r="F2" t="s">
        <v>101</v>
      </c>
      <c r="G2" t="s">
        <v>101</v>
      </c>
      <c r="H2" t="s">
        <v>101</v>
      </c>
      <c r="I2" t="s">
        <v>60</v>
      </c>
      <c r="J2" t="s">
        <v>101</v>
      </c>
      <c r="K2" t="s">
        <v>60</v>
      </c>
      <c r="L2" t="s">
        <v>101</v>
      </c>
      <c r="M2" t="s">
        <v>60</v>
      </c>
    </row>
    <row r="3" spans="1:13" x14ac:dyDescent="0.25">
      <c r="A3" t="s">
        <v>0</v>
      </c>
      <c r="B3" t="s">
        <v>1</v>
      </c>
      <c r="C3" t="s">
        <v>2</v>
      </c>
      <c r="D3" t="s">
        <v>89</v>
      </c>
      <c r="E3" t="s">
        <v>90</v>
      </c>
      <c r="F3" t="s">
        <v>91</v>
      </c>
      <c r="G3" t="s">
        <v>55</v>
      </c>
      <c r="H3" t="s">
        <v>97</v>
      </c>
      <c r="I3" t="s">
        <v>94</v>
      </c>
      <c r="J3" t="s">
        <v>95</v>
      </c>
      <c r="K3" t="s">
        <v>96</v>
      </c>
      <c r="L3" t="s">
        <v>92</v>
      </c>
      <c r="M3" t="s">
        <v>93</v>
      </c>
    </row>
    <row r="4" spans="1:13" x14ac:dyDescent="0.25">
      <c r="A4" t="s">
        <v>88</v>
      </c>
      <c r="B4" t="s">
        <v>230</v>
      </c>
      <c r="C4" t="s">
        <v>237</v>
      </c>
      <c r="D4">
        <v>100</v>
      </c>
      <c r="E4">
        <v>15</v>
      </c>
      <c r="F4" t="s">
        <v>98</v>
      </c>
      <c r="G4" t="s">
        <v>57</v>
      </c>
      <c r="H4" t="s">
        <v>98</v>
      </c>
      <c r="I4">
        <v>0</v>
      </c>
      <c r="J4" t="s">
        <v>99</v>
      </c>
      <c r="K4">
        <v>0</v>
      </c>
      <c r="L4" t="s">
        <v>100</v>
      </c>
      <c r="M4">
        <v>0</v>
      </c>
    </row>
    <row r="5" spans="1:13" x14ac:dyDescent="0.25">
      <c r="A5" t="s">
        <v>102</v>
      </c>
      <c r="B5" t="s">
        <v>231</v>
      </c>
      <c r="C5" t="s">
        <v>238</v>
      </c>
      <c r="D5">
        <v>100</v>
      </c>
      <c r="E5">
        <v>12</v>
      </c>
      <c r="F5" t="s">
        <v>98</v>
      </c>
      <c r="G5" t="s">
        <v>98</v>
      </c>
      <c r="H5" t="s">
        <v>98</v>
      </c>
      <c r="I5">
        <v>0</v>
      </c>
      <c r="J5" t="s">
        <v>99</v>
      </c>
      <c r="K5">
        <v>0</v>
      </c>
      <c r="L5" t="s">
        <v>100</v>
      </c>
      <c r="M5">
        <v>0</v>
      </c>
    </row>
    <row r="6" spans="1:13" x14ac:dyDescent="0.25">
      <c r="A6" t="s">
        <v>170</v>
      </c>
      <c r="B6" t="s">
        <v>232</v>
      </c>
      <c r="C6" t="s">
        <v>239</v>
      </c>
      <c r="D6">
        <v>100</v>
      </c>
      <c r="E6">
        <v>25</v>
      </c>
      <c r="F6" t="s">
        <v>98</v>
      </c>
      <c r="G6" t="s">
        <v>166</v>
      </c>
      <c r="H6" t="s">
        <v>98</v>
      </c>
      <c r="I6">
        <v>0</v>
      </c>
      <c r="J6" t="s">
        <v>99</v>
      </c>
      <c r="K6">
        <v>0</v>
      </c>
      <c r="L6" t="s">
        <v>100</v>
      </c>
      <c r="M6">
        <v>0</v>
      </c>
    </row>
    <row r="7" spans="1:13" x14ac:dyDescent="0.25">
      <c r="A7" t="s">
        <v>171</v>
      </c>
      <c r="B7" t="s">
        <v>233</v>
      </c>
      <c r="C7" t="s">
        <v>240</v>
      </c>
      <c r="D7">
        <v>50000</v>
      </c>
      <c r="E7">
        <v>10000</v>
      </c>
      <c r="F7" t="s">
        <v>98</v>
      </c>
      <c r="G7" t="s">
        <v>167</v>
      </c>
      <c r="H7" t="s">
        <v>98</v>
      </c>
      <c r="I7">
        <v>0</v>
      </c>
      <c r="J7" t="s">
        <v>99</v>
      </c>
      <c r="K7">
        <v>0</v>
      </c>
      <c r="L7" t="s">
        <v>69</v>
      </c>
      <c r="M7">
        <v>0</v>
      </c>
    </row>
    <row r="8" spans="1:13" x14ac:dyDescent="0.25">
      <c r="A8" t="s">
        <v>172</v>
      </c>
      <c r="B8" t="s">
        <v>234</v>
      </c>
      <c r="C8" t="s">
        <v>241</v>
      </c>
      <c r="D8">
        <v>100</v>
      </c>
      <c r="E8">
        <v>10</v>
      </c>
      <c r="F8" t="s">
        <v>98</v>
      </c>
      <c r="G8" t="s">
        <v>168</v>
      </c>
      <c r="H8" t="s">
        <v>98</v>
      </c>
      <c r="I8">
        <v>0</v>
      </c>
      <c r="J8" t="s">
        <v>99</v>
      </c>
      <c r="K8">
        <v>0</v>
      </c>
      <c r="L8" t="s">
        <v>100</v>
      </c>
      <c r="M8">
        <v>0</v>
      </c>
    </row>
    <row r="9" spans="1:13" x14ac:dyDescent="0.25">
      <c r="A9" t="s">
        <v>173</v>
      </c>
      <c r="B9" t="s">
        <v>235</v>
      </c>
      <c r="C9" t="s">
        <v>242</v>
      </c>
      <c r="D9">
        <v>100</v>
      </c>
      <c r="E9">
        <v>50</v>
      </c>
      <c r="F9" t="s">
        <v>98</v>
      </c>
      <c r="G9" t="s">
        <v>168</v>
      </c>
      <c r="H9" t="s">
        <v>98</v>
      </c>
      <c r="I9">
        <v>0</v>
      </c>
      <c r="J9" t="s">
        <v>99</v>
      </c>
      <c r="K9">
        <v>0</v>
      </c>
      <c r="L9" t="s">
        <v>100</v>
      </c>
      <c r="M9">
        <v>0</v>
      </c>
    </row>
    <row r="10" spans="1:13" x14ac:dyDescent="0.25">
      <c r="A10" t="s">
        <v>174</v>
      </c>
      <c r="B10" t="s">
        <v>236</v>
      </c>
      <c r="C10" t="s">
        <v>243</v>
      </c>
      <c r="D10">
        <v>100</v>
      </c>
      <c r="E10">
        <v>66.599999999999994</v>
      </c>
      <c r="F10" t="s">
        <v>98</v>
      </c>
      <c r="G10" t="s">
        <v>169</v>
      </c>
      <c r="H10" t="s">
        <v>98</v>
      </c>
      <c r="I10">
        <v>0</v>
      </c>
      <c r="J10" t="s">
        <v>99</v>
      </c>
      <c r="K10">
        <v>0</v>
      </c>
      <c r="L10" t="s">
        <v>175</v>
      </c>
      <c r="M10">
        <v>0</v>
      </c>
    </row>
    <row r="11" spans="1:13" x14ac:dyDescent="0.25">
      <c r="A11" t="s">
        <v>313</v>
      </c>
      <c r="B11" t="s">
        <v>314</v>
      </c>
      <c r="C11" t="s">
        <v>315</v>
      </c>
      <c r="D11">
        <v>100</v>
      </c>
      <c r="E11">
        <v>0</v>
      </c>
      <c r="F11" t="s">
        <v>98</v>
      </c>
      <c r="G11" t="s">
        <v>98</v>
      </c>
      <c r="H11" t="s">
        <v>98</v>
      </c>
      <c r="I11">
        <v>0</v>
      </c>
      <c r="J11" t="s">
        <v>99</v>
      </c>
      <c r="K11">
        <v>0</v>
      </c>
      <c r="L11" t="s">
        <v>100</v>
      </c>
      <c r="M11">
        <v>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E6"/>
  <sheetViews>
    <sheetView workbookViewId="0">
      <selection activeCell="A7" sqref="A7"/>
    </sheetView>
  </sheetViews>
  <sheetFormatPr defaultColWidth="11.42578125" defaultRowHeight="15" x14ac:dyDescent="0.25"/>
  <cols>
    <col min="1" max="1" width="37.140625" bestFit="1" customWidth="1"/>
    <col min="4" max="4" width="37.42578125" bestFit="1" customWidth="1"/>
    <col min="5" max="5" width="38" bestFit="1" customWidth="1"/>
  </cols>
  <sheetData>
    <row r="1" spans="1:5" x14ac:dyDescent="0.25">
      <c r="A1" t="s">
        <v>103</v>
      </c>
    </row>
    <row r="2" spans="1:5" x14ac:dyDescent="0.25">
      <c r="D2" t="s">
        <v>101</v>
      </c>
    </row>
    <row r="3" spans="1:5" x14ac:dyDescent="0.25">
      <c r="A3" t="s">
        <v>0</v>
      </c>
      <c r="B3" t="s">
        <v>1</v>
      </c>
      <c r="C3" t="s">
        <v>2</v>
      </c>
      <c r="D3" t="s">
        <v>35</v>
      </c>
      <c r="E3" t="s">
        <v>417</v>
      </c>
    </row>
    <row r="4" spans="1:5" x14ac:dyDescent="0.25">
      <c r="A4" t="s">
        <v>106</v>
      </c>
      <c r="B4" t="s">
        <v>244</v>
      </c>
      <c r="C4" t="s">
        <v>245</v>
      </c>
      <c r="D4" t="s">
        <v>36</v>
      </c>
      <c r="E4" t="s">
        <v>418</v>
      </c>
    </row>
    <row r="5" spans="1:5" x14ac:dyDescent="0.25">
      <c r="A5" t="s">
        <v>379</v>
      </c>
      <c r="B5" t="s">
        <v>381</v>
      </c>
      <c r="C5" t="s">
        <v>382</v>
      </c>
      <c r="D5" t="s">
        <v>36</v>
      </c>
      <c r="E5" t="s">
        <v>418</v>
      </c>
    </row>
    <row r="6" spans="1:5" x14ac:dyDescent="0.25">
      <c r="A6" t="s">
        <v>380</v>
      </c>
      <c r="B6" t="s">
        <v>383</v>
      </c>
      <c r="C6" t="s">
        <v>384</v>
      </c>
      <c r="D6" t="s">
        <v>36</v>
      </c>
      <c r="E6" t="s">
        <v>418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F11"/>
  <sheetViews>
    <sheetView workbookViewId="0">
      <selection activeCell="A12" sqref="A12"/>
    </sheetView>
  </sheetViews>
  <sheetFormatPr defaultColWidth="11.42578125" defaultRowHeight="15" x14ac:dyDescent="0.25"/>
  <cols>
    <col min="1" max="1" width="38" bestFit="1" customWidth="1"/>
    <col min="2" max="2" width="37.42578125" bestFit="1" customWidth="1"/>
    <col min="3" max="3" width="37" bestFit="1" customWidth="1"/>
    <col min="4" max="4" width="16.7109375" bestFit="1" customWidth="1"/>
    <col min="5" max="5" width="14" bestFit="1" customWidth="1"/>
  </cols>
  <sheetData>
    <row r="1" spans="1:6" x14ac:dyDescent="0.25">
      <c r="A1" t="s">
        <v>104</v>
      </c>
    </row>
    <row r="3" spans="1:6" x14ac:dyDescent="0.25">
      <c r="A3" t="s">
        <v>0</v>
      </c>
      <c r="B3" t="s">
        <v>103</v>
      </c>
      <c r="C3" t="s">
        <v>86</v>
      </c>
      <c r="D3" t="s">
        <v>108</v>
      </c>
      <c r="E3" t="s">
        <v>109</v>
      </c>
      <c r="F3" t="s">
        <v>416</v>
      </c>
    </row>
    <row r="4" spans="1:6" x14ac:dyDescent="0.25">
      <c r="A4" t="s">
        <v>107</v>
      </c>
      <c r="B4" t="s">
        <v>106</v>
      </c>
      <c r="C4" t="s">
        <v>88</v>
      </c>
      <c r="D4" t="s">
        <v>246</v>
      </c>
      <c r="E4" t="s">
        <v>253</v>
      </c>
      <c r="F4">
        <v>1</v>
      </c>
    </row>
    <row r="5" spans="1:6" x14ac:dyDescent="0.25">
      <c r="A5" t="s">
        <v>176</v>
      </c>
      <c r="B5" t="s">
        <v>106</v>
      </c>
      <c r="C5" t="s">
        <v>102</v>
      </c>
      <c r="D5" t="s">
        <v>247</v>
      </c>
      <c r="E5" t="s">
        <v>254</v>
      </c>
      <c r="F5">
        <v>2</v>
      </c>
    </row>
    <row r="6" spans="1:6" x14ac:dyDescent="0.25">
      <c r="A6" t="s">
        <v>177</v>
      </c>
      <c r="B6" t="s">
        <v>106</v>
      </c>
      <c r="C6" t="s">
        <v>170</v>
      </c>
      <c r="D6" t="s">
        <v>248</v>
      </c>
      <c r="E6" t="s">
        <v>255</v>
      </c>
      <c r="F6">
        <v>3</v>
      </c>
    </row>
    <row r="7" spans="1:6" x14ac:dyDescent="0.25">
      <c r="A7" t="s">
        <v>178</v>
      </c>
      <c r="B7" t="s">
        <v>106</v>
      </c>
      <c r="C7" t="s">
        <v>171</v>
      </c>
      <c r="D7" t="s">
        <v>249</v>
      </c>
      <c r="E7" t="s">
        <v>256</v>
      </c>
      <c r="F7">
        <v>4</v>
      </c>
    </row>
    <row r="8" spans="1:6" x14ac:dyDescent="0.25">
      <c r="A8" t="s">
        <v>179</v>
      </c>
      <c r="B8" t="s">
        <v>106</v>
      </c>
      <c r="C8" t="s">
        <v>172</v>
      </c>
      <c r="D8" t="s">
        <v>250</v>
      </c>
      <c r="E8" t="s">
        <v>257</v>
      </c>
      <c r="F8">
        <v>5</v>
      </c>
    </row>
    <row r="9" spans="1:6" x14ac:dyDescent="0.25">
      <c r="A9" t="s">
        <v>180</v>
      </c>
      <c r="B9" t="s">
        <v>106</v>
      </c>
      <c r="C9" t="s">
        <v>173</v>
      </c>
      <c r="D9" t="s">
        <v>251</v>
      </c>
      <c r="E9" t="s">
        <v>258</v>
      </c>
      <c r="F9">
        <v>6</v>
      </c>
    </row>
    <row r="10" spans="1:6" x14ac:dyDescent="0.25">
      <c r="A10" t="s">
        <v>181</v>
      </c>
      <c r="B10" t="s">
        <v>106</v>
      </c>
      <c r="C10" t="s">
        <v>174</v>
      </c>
      <c r="D10" t="s">
        <v>252</v>
      </c>
      <c r="E10" t="s">
        <v>259</v>
      </c>
      <c r="F10">
        <v>7</v>
      </c>
    </row>
    <row r="11" spans="1:6" x14ac:dyDescent="0.25">
      <c r="A11" t="s">
        <v>316</v>
      </c>
      <c r="B11" t="s">
        <v>106</v>
      </c>
      <c r="C11" t="s">
        <v>313</v>
      </c>
      <c r="D11" t="s">
        <v>317</v>
      </c>
      <c r="E11" t="s">
        <v>318</v>
      </c>
      <c r="F11">
        <v>8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3"/>
  <sheetViews>
    <sheetView workbookViewId="0">
      <selection activeCell="A4" sqref="A4"/>
    </sheetView>
  </sheetViews>
  <sheetFormatPr defaultColWidth="11.42578125" defaultRowHeight="15" x14ac:dyDescent="0.25"/>
  <cols>
    <col min="1" max="1" width="108" customWidth="1"/>
  </cols>
  <sheetData>
    <row r="1" spans="1:1" x14ac:dyDescent="0.25">
      <c r="A1" t="s">
        <v>125</v>
      </c>
    </row>
    <row r="2" spans="1:1" ht="195" x14ac:dyDescent="0.25">
      <c r="A2" s="4" t="s">
        <v>164</v>
      </c>
    </row>
    <row r="3" spans="1:1" ht="225" x14ac:dyDescent="0.25">
      <c r="A3" s="4" t="s">
        <v>165</v>
      </c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workbookViewId="0">
      <selection activeCell="A5" sqref="A5"/>
    </sheetView>
  </sheetViews>
  <sheetFormatPr defaultColWidth="11.42578125" defaultRowHeight="15" x14ac:dyDescent="0.25"/>
  <cols>
    <col min="1" max="1" width="37.42578125" bestFit="1" customWidth="1"/>
    <col min="2" max="2" width="22" customWidth="1"/>
    <col min="3" max="3" width="24" customWidth="1"/>
    <col min="4" max="4" width="22" customWidth="1"/>
    <col min="5" max="5" width="15.42578125" customWidth="1"/>
    <col min="6" max="6" width="13.28515625" bestFit="1" customWidth="1"/>
  </cols>
  <sheetData>
    <row r="1" spans="1:7" x14ac:dyDescent="0.25">
      <c r="A1" t="s">
        <v>483</v>
      </c>
    </row>
    <row r="2" spans="1:7" x14ac:dyDescent="0.25">
      <c r="D2" t="s">
        <v>5</v>
      </c>
      <c r="E2" t="s">
        <v>5</v>
      </c>
      <c r="F2" t="s">
        <v>5</v>
      </c>
      <c r="G2" t="s">
        <v>5</v>
      </c>
    </row>
    <row r="3" spans="1:7" x14ac:dyDescent="0.25">
      <c r="A3" t="s">
        <v>0</v>
      </c>
      <c r="B3" t="s">
        <v>1</v>
      </c>
      <c r="C3" t="s">
        <v>2</v>
      </c>
      <c r="D3" t="s">
        <v>1187</v>
      </c>
      <c r="E3" t="s">
        <v>1188</v>
      </c>
      <c r="F3" t="s">
        <v>1189</v>
      </c>
      <c r="G3" t="s">
        <v>1190</v>
      </c>
    </row>
    <row r="4" spans="1:7" x14ac:dyDescent="0.25">
      <c r="A4" t="s">
        <v>488</v>
      </c>
      <c r="B4" t="s">
        <v>489</v>
      </c>
      <c r="C4" t="s">
        <v>489</v>
      </c>
      <c r="D4" s="11">
        <v>1</v>
      </c>
      <c r="E4" s="11">
        <v>10</v>
      </c>
      <c r="F4" s="11">
        <v>10</v>
      </c>
      <c r="G4" s="11">
        <v>15</v>
      </c>
    </row>
    <row r="5" spans="1:7" x14ac:dyDescent="0.25">
      <c r="D5" s="5"/>
      <c r="E5" s="1"/>
    </row>
  </sheetData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workbookViewId="0">
      <selection activeCell="A11" sqref="A11"/>
    </sheetView>
  </sheetViews>
  <sheetFormatPr defaultColWidth="11.42578125" defaultRowHeight="15" x14ac:dyDescent="0.25"/>
  <cols>
    <col min="1" max="1" width="37.85546875" bestFit="1" customWidth="1"/>
    <col min="2" max="3" width="37.140625" bestFit="1" customWidth="1"/>
    <col min="4" max="5" width="15.140625" bestFit="1" customWidth="1"/>
  </cols>
  <sheetData>
    <row r="1" spans="1:5" x14ac:dyDescent="0.25">
      <c r="A1" t="s">
        <v>529</v>
      </c>
    </row>
    <row r="2" spans="1:5" x14ac:dyDescent="0.25">
      <c r="D2" t="s">
        <v>141</v>
      </c>
      <c r="E2" t="s">
        <v>141</v>
      </c>
    </row>
    <row r="3" spans="1:5" x14ac:dyDescent="0.25">
      <c r="A3" t="s">
        <v>0</v>
      </c>
      <c r="B3" t="s">
        <v>8</v>
      </c>
      <c r="C3" t="s">
        <v>483</v>
      </c>
      <c r="D3" t="s">
        <v>538</v>
      </c>
      <c r="E3" t="s">
        <v>539</v>
      </c>
    </row>
    <row r="4" spans="1:5" x14ac:dyDescent="0.25">
      <c r="A4" t="s">
        <v>530</v>
      </c>
      <c r="B4" t="s">
        <v>9</v>
      </c>
      <c r="C4" t="s">
        <v>488</v>
      </c>
      <c r="D4" s="6">
        <f ca="1">NOW() -1</f>
        <v>45473.842169791664</v>
      </c>
      <c r="E4" s="6">
        <f ca="1">NOW() + 100</f>
        <v>45574.842169791664</v>
      </c>
    </row>
    <row r="5" spans="1:5" x14ac:dyDescent="0.25">
      <c r="A5" t="s">
        <v>531</v>
      </c>
      <c r="B5" t="s">
        <v>10</v>
      </c>
      <c r="C5" t="s">
        <v>488</v>
      </c>
      <c r="D5" s="6">
        <f t="shared" ref="D5:D10" ca="1" si="0">NOW() -1</f>
        <v>45473.842169791664</v>
      </c>
      <c r="E5" s="6">
        <f t="shared" ref="E5:E10" ca="1" si="1">NOW() + 100</f>
        <v>45574.842169791664</v>
      </c>
    </row>
    <row r="6" spans="1:5" x14ac:dyDescent="0.25">
      <c r="A6" t="s">
        <v>532</v>
      </c>
      <c r="B6" t="s">
        <v>123</v>
      </c>
      <c r="C6" t="s">
        <v>488</v>
      </c>
      <c r="D6" s="6">
        <f t="shared" ca="1" si="0"/>
        <v>45473.842169791664</v>
      </c>
      <c r="E6" s="6">
        <f t="shared" ca="1" si="1"/>
        <v>45574.842169791664</v>
      </c>
    </row>
    <row r="7" spans="1:5" x14ac:dyDescent="0.25">
      <c r="A7" t="s">
        <v>533</v>
      </c>
      <c r="B7" t="s">
        <v>511</v>
      </c>
      <c r="C7" t="s">
        <v>488</v>
      </c>
      <c r="D7" s="6">
        <f t="shared" ca="1" si="0"/>
        <v>45473.842169791664</v>
      </c>
      <c r="E7" s="6">
        <f t="shared" ca="1" si="1"/>
        <v>45574.842169791664</v>
      </c>
    </row>
    <row r="8" spans="1:5" x14ac:dyDescent="0.25">
      <c r="A8" t="s">
        <v>534</v>
      </c>
      <c r="B8" t="s">
        <v>512</v>
      </c>
      <c r="C8" t="s">
        <v>488</v>
      </c>
      <c r="D8" s="6">
        <f t="shared" ca="1" si="0"/>
        <v>45473.842169791664</v>
      </c>
      <c r="E8" s="6">
        <f t="shared" ca="1" si="1"/>
        <v>45574.842169791664</v>
      </c>
    </row>
    <row r="9" spans="1:5" x14ac:dyDescent="0.25">
      <c r="A9" t="s">
        <v>535</v>
      </c>
      <c r="B9" t="s">
        <v>513</v>
      </c>
      <c r="C9" t="s">
        <v>488</v>
      </c>
      <c r="D9" s="6">
        <f t="shared" ca="1" si="0"/>
        <v>45473.842169791664</v>
      </c>
      <c r="E9" s="6">
        <f t="shared" ca="1" si="1"/>
        <v>45574.842169791664</v>
      </c>
    </row>
    <row r="10" spans="1:5" x14ac:dyDescent="0.25">
      <c r="A10" t="s">
        <v>536</v>
      </c>
      <c r="B10" t="s">
        <v>514</v>
      </c>
      <c r="C10" t="s">
        <v>488</v>
      </c>
      <c r="D10" s="6">
        <f t="shared" ca="1" si="0"/>
        <v>45473.842169791664</v>
      </c>
      <c r="E10" s="6">
        <f t="shared" ca="1" si="1"/>
        <v>45574.842169791664</v>
      </c>
    </row>
  </sheetData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4"/>
  <dimension ref="A1:U36"/>
  <sheetViews>
    <sheetView workbookViewId="0">
      <selection activeCell="A32" sqref="A32"/>
    </sheetView>
  </sheetViews>
  <sheetFormatPr defaultColWidth="11.42578125" defaultRowHeight="15" x14ac:dyDescent="0.25"/>
  <cols>
    <col min="1" max="1" width="36.7109375" bestFit="1" customWidth="1"/>
    <col min="2" max="2" width="22.85546875" customWidth="1"/>
    <col min="3" max="3" width="19.140625" customWidth="1"/>
    <col min="4" max="6" width="39.5703125" customWidth="1"/>
    <col min="7" max="8" width="39" bestFit="1" customWidth="1"/>
    <col min="9" max="9" width="15.42578125" bestFit="1" customWidth="1"/>
    <col min="10" max="10" width="13.5703125" bestFit="1" customWidth="1"/>
    <col min="11" max="11" width="20.85546875" customWidth="1"/>
    <col min="12" max="12" width="37.28515625" bestFit="1" customWidth="1"/>
    <col min="13" max="13" width="29.28515625" bestFit="1" customWidth="1"/>
    <col min="14" max="14" width="29.7109375" bestFit="1" customWidth="1"/>
    <col min="16" max="16" width="24.140625" bestFit="1" customWidth="1"/>
    <col min="17" max="17" width="24.42578125" bestFit="1" customWidth="1"/>
    <col min="18" max="18" width="24.85546875" bestFit="1" customWidth="1"/>
    <col min="19" max="19" width="24.140625" bestFit="1" customWidth="1"/>
    <col min="20" max="20" width="37.42578125" bestFit="1" customWidth="1"/>
    <col min="21" max="21" width="25.5703125" bestFit="1" customWidth="1"/>
  </cols>
  <sheetData>
    <row r="1" spans="1:21" x14ac:dyDescent="0.25">
      <c r="A1" t="s">
        <v>91</v>
      </c>
    </row>
    <row r="2" spans="1:21" x14ac:dyDescent="0.25">
      <c r="D2" t="s">
        <v>101</v>
      </c>
      <c r="E2" t="s">
        <v>101</v>
      </c>
      <c r="F2" t="s">
        <v>101</v>
      </c>
      <c r="G2" t="s">
        <v>101</v>
      </c>
      <c r="H2" t="s">
        <v>101</v>
      </c>
      <c r="K2" t="s">
        <v>60</v>
      </c>
      <c r="L2" t="s">
        <v>101</v>
      </c>
      <c r="M2" t="s">
        <v>60</v>
      </c>
      <c r="N2" t="s">
        <v>60</v>
      </c>
      <c r="O2" t="s">
        <v>60</v>
      </c>
      <c r="P2" t="s">
        <v>60</v>
      </c>
      <c r="Q2" t="s">
        <v>60</v>
      </c>
      <c r="R2" t="s">
        <v>60</v>
      </c>
      <c r="S2" t="s">
        <v>60</v>
      </c>
      <c r="T2" t="s">
        <v>101</v>
      </c>
      <c r="U2" t="s">
        <v>60</v>
      </c>
    </row>
    <row r="3" spans="1:21" x14ac:dyDescent="0.25">
      <c r="A3" t="s">
        <v>0</v>
      </c>
      <c r="B3" t="s">
        <v>1</v>
      </c>
      <c r="C3" t="s">
        <v>2</v>
      </c>
      <c r="D3" t="s">
        <v>58</v>
      </c>
      <c r="E3" t="s">
        <v>913</v>
      </c>
      <c r="F3" t="s">
        <v>914</v>
      </c>
      <c r="G3" t="s">
        <v>263</v>
      </c>
      <c r="H3" t="s">
        <v>67</v>
      </c>
      <c r="I3" t="s">
        <v>419</v>
      </c>
      <c r="J3" t="s">
        <v>420</v>
      </c>
      <c r="K3" t="s">
        <v>839</v>
      </c>
      <c r="L3" t="s">
        <v>338</v>
      </c>
      <c r="M3" t="s">
        <v>884</v>
      </c>
      <c r="N3" t="s">
        <v>885</v>
      </c>
      <c r="O3" t="s">
        <v>886</v>
      </c>
      <c r="P3" t="s">
        <v>887</v>
      </c>
      <c r="Q3" t="s">
        <v>888</v>
      </c>
      <c r="R3" t="s">
        <v>904</v>
      </c>
      <c r="S3" t="s">
        <v>905</v>
      </c>
      <c r="T3" t="s">
        <v>912</v>
      </c>
      <c r="U3" t="s">
        <v>1167</v>
      </c>
    </row>
    <row r="4" spans="1:21" x14ac:dyDescent="0.25">
      <c r="A4" t="s">
        <v>271</v>
      </c>
      <c r="B4" t="s">
        <v>680</v>
      </c>
      <c r="C4" t="s">
        <v>680</v>
      </c>
      <c r="D4" t="s">
        <v>111</v>
      </c>
      <c r="E4" t="s">
        <v>915</v>
      </c>
      <c r="F4" t="s">
        <v>916</v>
      </c>
      <c r="G4" t="s">
        <v>264</v>
      </c>
      <c r="H4" t="s">
        <v>69</v>
      </c>
      <c r="I4">
        <v>11</v>
      </c>
      <c r="J4">
        <v>1200</v>
      </c>
      <c r="K4">
        <v>0</v>
      </c>
      <c r="L4" t="s">
        <v>98</v>
      </c>
      <c r="T4" t="s">
        <v>98</v>
      </c>
      <c r="U4">
        <v>1</v>
      </c>
    </row>
    <row r="5" spans="1:21" x14ac:dyDescent="0.25">
      <c r="A5" t="s">
        <v>272</v>
      </c>
      <c r="B5" t="s">
        <v>834</v>
      </c>
      <c r="C5" t="s">
        <v>834</v>
      </c>
      <c r="D5" t="s">
        <v>111</v>
      </c>
      <c r="E5" t="s">
        <v>915</v>
      </c>
      <c r="F5" t="s">
        <v>916</v>
      </c>
      <c r="G5" t="s">
        <v>264</v>
      </c>
      <c r="H5" t="s">
        <v>69</v>
      </c>
      <c r="I5">
        <v>22</v>
      </c>
      <c r="J5">
        <v>1200</v>
      </c>
      <c r="K5">
        <v>0</v>
      </c>
      <c r="L5" t="s">
        <v>98</v>
      </c>
      <c r="T5" t="s">
        <v>98</v>
      </c>
      <c r="U5">
        <v>1</v>
      </c>
    </row>
    <row r="6" spans="1:21" x14ac:dyDescent="0.25">
      <c r="A6" t="s">
        <v>273</v>
      </c>
      <c r="B6" t="s">
        <v>835</v>
      </c>
      <c r="C6" t="s">
        <v>835</v>
      </c>
      <c r="D6" t="s">
        <v>111</v>
      </c>
      <c r="E6" t="s">
        <v>915</v>
      </c>
      <c r="F6" t="s">
        <v>916</v>
      </c>
      <c r="G6" t="s">
        <v>264</v>
      </c>
      <c r="H6" t="s">
        <v>69</v>
      </c>
      <c r="I6">
        <v>33</v>
      </c>
      <c r="J6">
        <v>1200</v>
      </c>
      <c r="K6">
        <v>0</v>
      </c>
      <c r="L6" t="s">
        <v>98</v>
      </c>
      <c r="T6" t="s">
        <v>98</v>
      </c>
      <c r="U6">
        <v>1</v>
      </c>
    </row>
    <row r="7" spans="1:21" x14ac:dyDescent="0.25">
      <c r="A7" t="s">
        <v>274</v>
      </c>
      <c r="B7" t="s">
        <v>836</v>
      </c>
      <c r="C7" t="s">
        <v>837</v>
      </c>
      <c r="D7" t="s">
        <v>111</v>
      </c>
      <c r="E7" t="s">
        <v>915</v>
      </c>
      <c r="F7" t="s">
        <v>916</v>
      </c>
      <c r="G7" t="s">
        <v>264</v>
      </c>
      <c r="H7" t="s">
        <v>69</v>
      </c>
      <c r="I7">
        <v>44</v>
      </c>
      <c r="J7">
        <v>1200</v>
      </c>
      <c r="K7">
        <v>0</v>
      </c>
      <c r="L7" t="s">
        <v>98</v>
      </c>
      <c r="T7" t="s">
        <v>98</v>
      </c>
      <c r="U7">
        <v>1</v>
      </c>
    </row>
    <row r="8" spans="1:21" x14ac:dyDescent="0.25">
      <c r="A8" t="s">
        <v>543</v>
      </c>
      <c r="B8" t="s">
        <v>838</v>
      </c>
      <c r="C8" t="s">
        <v>838</v>
      </c>
      <c r="D8" t="s">
        <v>111</v>
      </c>
      <c r="E8" t="s">
        <v>915</v>
      </c>
      <c r="F8" t="s">
        <v>916</v>
      </c>
      <c r="G8" t="s">
        <v>264</v>
      </c>
      <c r="H8" t="s">
        <v>69</v>
      </c>
      <c r="I8">
        <v>44</v>
      </c>
      <c r="J8">
        <v>1200</v>
      </c>
      <c r="K8">
        <v>0</v>
      </c>
      <c r="L8" t="s">
        <v>98</v>
      </c>
      <c r="T8" t="s">
        <v>98</v>
      </c>
      <c r="U8">
        <v>1</v>
      </c>
    </row>
    <row r="9" spans="1:21" x14ac:dyDescent="0.25">
      <c r="A9" t="s">
        <v>544</v>
      </c>
      <c r="B9" t="s">
        <v>681</v>
      </c>
      <c r="C9" t="s">
        <v>681</v>
      </c>
      <c r="D9" t="s">
        <v>111</v>
      </c>
      <c r="E9" t="s">
        <v>915</v>
      </c>
      <c r="F9" t="s">
        <v>916</v>
      </c>
      <c r="G9" t="s">
        <v>264</v>
      </c>
      <c r="H9" t="s">
        <v>69</v>
      </c>
      <c r="I9">
        <v>44</v>
      </c>
      <c r="J9">
        <v>1200</v>
      </c>
      <c r="K9">
        <v>0</v>
      </c>
      <c r="L9" t="s">
        <v>98</v>
      </c>
      <c r="T9" t="s">
        <v>98</v>
      </c>
      <c r="U9">
        <v>1</v>
      </c>
    </row>
    <row r="10" spans="1:21" x14ac:dyDescent="0.25">
      <c r="A10" t="s">
        <v>545</v>
      </c>
      <c r="B10" t="s">
        <v>682</v>
      </c>
      <c r="C10" t="s">
        <v>682</v>
      </c>
      <c r="D10" t="s">
        <v>111</v>
      </c>
      <c r="E10" t="s">
        <v>915</v>
      </c>
      <c r="F10" t="s">
        <v>916</v>
      </c>
      <c r="G10" t="s">
        <v>264</v>
      </c>
      <c r="H10" t="s">
        <v>69</v>
      </c>
      <c r="I10">
        <v>44</v>
      </c>
      <c r="J10">
        <v>1200</v>
      </c>
      <c r="K10">
        <v>0</v>
      </c>
      <c r="L10" t="s">
        <v>98</v>
      </c>
      <c r="T10" t="s">
        <v>98</v>
      </c>
      <c r="U10">
        <v>1</v>
      </c>
    </row>
    <row r="11" spans="1:21" x14ac:dyDescent="0.25">
      <c r="A11" t="s">
        <v>750</v>
      </c>
      <c r="B11" t="s">
        <v>751</v>
      </c>
      <c r="C11" t="s">
        <v>751</v>
      </c>
      <c r="D11" t="s">
        <v>111</v>
      </c>
      <c r="E11" t="s">
        <v>915</v>
      </c>
      <c r="F11" t="s">
        <v>916</v>
      </c>
      <c r="G11" t="s">
        <v>264</v>
      </c>
      <c r="H11" t="s">
        <v>69</v>
      </c>
      <c r="I11">
        <v>44</v>
      </c>
      <c r="J11">
        <v>1200</v>
      </c>
      <c r="K11">
        <v>0</v>
      </c>
      <c r="L11" t="s">
        <v>98</v>
      </c>
      <c r="T11" t="s">
        <v>98</v>
      </c>
      <c r="U11">
        <v>1</v>
      </c>
    </row>
    <row r="12" spans="1:21" x14ac:dyDescent="0.25">
      <c r="A12" t="s">
        <v>279</v>
      </c>
      <c r="B12" t="s">
        <v>683</v>
      </c>
      <c r="C12" t="s">
        <v>683</v>
      </c>
      <c r="D12" t="s">
        <v>111</v>
      </c>
      <c r="E12" t="s">
        <v>915</v>
      </c>
      <c r="F12" t="s">
        <v>916</v>
      </c>
      <c r="G12" t="s">
        <v>267</v>
      </c>
      <c r="H12" t="s">
        <v>69</v>
      </c>
      <c r="I12">
        <v>0</v>
      </c>
      <c r="J12">
        <v>1200</v>
      </c>
      <c r="K12">
        <v>0</v>
      </c>
      <c r="L12" t="s">
        <v>98</v>
      </c>
      <c r="T12" t="s">
        <v>98</v>
      </c>
      <c r="U12">
        <v>1</v>
      </c>
    </row>
    <row r="13" spans="1:21" x14ac:dyDescent="0.25">
      <c r="A13" t="s">
        <v>280</v>
      </c>
      <c r="B13" t="s">
        <v>684</v>
      </c>
      <c r="C13" t="s">
        <v>684</v>
      </c>
      <c r="D13" t="s">
        <v>111</v>
      </c>
      <c r="E13" t="s">
        <v>915</v>
      </c>
      <c r="F13" t="s">
        <v>916</v>
      </c>
      <c r="G13" t="s">
        <v>267</v>
      </c>
      <c r="H13" t="s">
        <v>69</v>
      </c>
      <c r="I13">
        <v>0</v>
      </c>
      <c r="J13">
        <v>1200</v>
      </c>
      <c r="K13">
        <v>0</v>
      </c>
      <c r="L13" t="s">
        <v>98</v>
      </c>
      <c r="T13" t="s">
        <v>98</v>
      </c>
      <c r="U13">
        <v>1</v>
      </c>
    </row>
    <row r="14" spans="1:21" x14ac:dyDescent="0.25">
      <c r="A14" t="s">
        <v>283</v>
      </c>
      <c r="B14" t="s">
        <v>906</v>
      </c>
      <c r="C14" t="s">
        <v>906</v>
      </c>
      <c r="D14" t="s">
        <v>111</v>
      </c>
      <c r="E14" t="s">
        <v>915</v>
      </c>
      <c r="F14" t="s">
        <v>916</v>
      </c>
      <c r="G14" t="s">
        <v>268</v>
      </c>
      <c r="H14" t="s">
        <v>69</v>
      </c>
      <c r="I14">
        <v>0</v>
      </c>
      <c r="J14">
        <v>1200</v>
      </c>
      <c r="K14">
        <v>59</v>
      </c>
      <c r="L14" t="s">
        <v>339</v>
      </c>
      <c r="M14">
        <v>55</v>
      </c>
      <c r="N14">
        <v>63</v>
      </c>
      <c r="O14">
        <v>25</v>
      </c>
      <c r="P14">
        <v>20</v>
      </c>
      <c r="Q14">
        <v>30</v>
      </c>
      <c r="R14">
        <v>185</v>
      </c>
      <c r="S14">
        <v>220</v>
      </c>
      <c r="T14" t="s">
        <v>339</v>
      </c>
      <c r="U14">
        <v>1</v>
      </c>
    </row>
    <row r="15" spans="1:21" x14ac:dyDescent="0.25">
      <c r="A15" t="s">
        <v>284</v>
      </c>
      <c r="B15" t="s">
        <v>907</v>
      </c>
      <c r="C15" t="s">
        <v>907</v>
      </c>
      <c r="D15" t="s">
        <v>111</v>
      </c>
      <c r="E15" t="s">
        <v>915</v>
      </c>
      <c r="F15" t="s">
        <v>916</v>
      </c>
      <c r="G15" t="s">
        <v>268</v>
      </c>
      <c r="H15" t="s">
        <v>69</v>
      </c>
      <c r="I15">
        <v>0</v>
      </c>
      <c r="J15">
        <v>1200</v>
      </c>
      <c r="K15">
        <v>56</v>
      </c>
      <c r="L15" t="s">
        <v>339</v>
      </c>
      <c r="M15">
        <v>52</v>
      </c>
      <c r="N15">
        <v>60</v>
      </c>
      <c r="O15">
        <v>38</v>
      </c>
      <c r="P15">
        <v>30</v>
      </c>
      <c r="Q15">
        <v>45</v>
      </c>
      <c r="R15">
        <v>175</v>
      </c>
      <c r="S15">
        <v>220</v>
      </c>
      <c r="T15" t="s">
        <v>339</v>
      </c>
      <c r="U15">
        <v>1</v>
      </c>
    </row>
    <row r="16" spans="1:21" x14ac:dyDescent="0.25">
      <c r="A16" t="s">
        <v>285</v>
      </c>
      <c r="B16" t="s">
        <v>908</v>
      </c>
      <c r="C16" t="s">
        <v>908</v>
      </c>
      <c r="D16" t="s">
        <v>111</v>
      </c>
      <c r="E16" t="s">
        <v>915</v>
      </c>
      <c r="F16" t="s">
        <v>916</v>
      </c>
      <c r="G16" t="s">
        <v>268</v>
      </c>
      <c r="H16" t="s">
        <v>69</v>
      </c>
      <c r="I16">
        <v>0</v>
      </c>
      <c r="J16">
        <v>1200</v>
      </c>
      <c r="K16">
        <v>54</v>
      </c>
      <c r="L16" t="s">
        <v>339</v>
      </c>
      <c r="M16">
        <v>50</v>
      </c>
      <c r="N16">
        <v>58</v>
      </c>
      <c r="O16">
        <v>42</v>
      </c>
      <c r="P16">
        <v>35</v>
      </c>
      <c r="Q16">
        <v>50</v>
      </c>
      <c r="R16">
        <v>170</v>
      </c>
      <c r="S16">
        <v>210</v>
      </c>
      <c r="T16" t="s">
        <v>339</v>
      </c>
      <c r="U16">
        <v>1</v>
      </c>
    </row>
    <row r="17" spans="1:21" x14ac:dyDescent="0.25">
      <c r="A17" t="s">
        <v>889</v>
      </c>
      <c r="B17" t="s">
        <v>909</v>
      </c>
      <c r="C17" t="s">
        <v>909</v>
      </c>
      <c r="D17" t="s">
        <v>111</v>
      </c>
      <c r="E17" t="s">
        <v>915</v>
      </c>
      <c r="F17" t="s">
        <v>916</v>
      </c>
      <c r="G17" t="s">
        <v>268</v>
      </c>
      <c r="H17" t="s">
        <v>69</v>
      </c>
      <c r="I17">
        <v>0</v>
      </c>
      <c r="J17">
        <v>1200</v>
      </c>
      <c r="K17">
        <v>52</v>
      </c>
      <c r="L17" t="s">
        <v>339</v>
      </c>
      <c r="M17">
        <v>48</v>
      </c>
      <c r="N17">
        <v>56</v>
      </c>
      <c r="O17">
        <v>50</v>
      </c>
      <c r="P17">
        <v>40</v>
      </c>
      <c r="Q17">
        <v>60</v>
      </c>
      <c r="R17">
        <v>165</v>
      </c>
      <c r="S17">
        <v>200</v>
      </c>
      <c r="T17" t="s">
        <v>339</v>
      </c>
      <c r="U17">
        <v>1</v>
      </c>
    </row>
    <row r="18" spans="1:21" x14ac:dyDescent="0.25">
      <c r="A18" t="s">
        <v>890</v>
      </c>
      <c r="B18" t="s">
        <v>910</v>
      </c>
      <c r="C18" t="s">
        <v>910</v>
      </c>
      <c r="D18" t="s">
        <v>111</v>
      </c>
      <c r="E18" t="s">
        <v>915</v>
      </c>
      <c r="F18" t="s">
        <v>916</v>
      </c>
      <c r="G18" t="s">
        <v>268</v>
      </c>
      <c r="H18" t="s">
        <v>69</v>
      </c>
      <c r="I18">
        <v>0</v>
      </c>
      <c r="J18">
        <v>1200</v>
      </c>
      <c r="K18">
        <v>50</v>
      </c>
      <c r="L18" t="s">
        <v>339</v>
      </c>
      <c r="M18">
        <v>46</v>
      </c>
      <c r="N18">
        <v>54</v>
      </c>
      <c r="O18">
        <v>60</v>
      </c>
      <c r="P18">
        <v>50</v>
      </c>
      <c r="Q18">
        <v>70</v>
      </c>
      <c r="R18">
        <v>165</v>
      </c>
      <c r="S18">
        <v>200</v>
      </c>
      <c r="T18" t="s">
        <v>339</v>
      </c>
      <c r="U18">
        <v>1</v>
      </c>
    </row>
    <row r="19" spans="1:21" x14ac:dyDescent="0.25">
      <c r="A19" t="s">
        <v>891</v>
      </c>
      <c r="B19" t="s">
        <v>911</v>
      </c>
      <c r="C19" t="s">
        <v>911</v>
      </c>
      <c r="D19" t="s">
        <v>111</v>
      </c>
      <c r="E19" t="s">
        <v>915</v>
      </c>
      <c r="F19" t="s">
        <v>916</v>
      </c>
      <c r="G19" t="s">
        <v>268</v>
      </c>
      <c r="H19" t="s">
        <v>69</v>
      </c>
      <c r="I19">
        <v>0</v>
      </c>
      <c r="J19">
        <v>1200</v>
      </c>
      <c r="K19">
        <v>47</v>
      </c>
      <c r="L19" t="s">
        <v>339</v>
      </c>
      <c r="M19">
        <v>43</v>
      </c>
      <c r="N19">
        <v>51</v>
      </c>
      <c r="O19">
        <v>85</v>
      </c>
      <c r="P19">
        <v>70</v>
      </c>
      <c r="Q19">
        <v>100</v>
      </c>
      <c r="R19">
        <v>160</v>
      </c>
      <c r="S19">
        <v>200</v>
      </c>
      <c r="T19" t="s">
        <v>339</v>
      </c>
      <c r="U19">
        <v>1</v>
      </c>
    </row>
    <row r="20" spans="1:21" x14ac:dyDescent="0.25">
      <c r="A20" t="s">
        <v>892</v>
      </c>
      <c r="B20" t="s">
        <v>895</v>
      </c>
      <c r="C20" t="s">
        <v>895</v>
      </c>
      <c r="D20" t="s">
        <v>111</v>
      </c>
      <c r="E20" t="s">
        <v>915</v>
      </c>
      <c r="F20" t="s">
        <v>916</v>
      </c>
      <c r="G20" t="s">
        <v>268</v>
      </c>
      <c r="H20" t="s">
        <v>69</v>
      </c>
      <c r="I20">
        <v>0</v>
      </c>
      <c r="J20">
        <v>1200</v>
      </c>
      <c r="K20">
        <v>43</v>
      </c>
      <c r="L20" t="s">
        <v>339</v>
      </c>
      <c r="M20">
        <v>39</v>
      </c>
      <c r="N20">
        <v>47</v>
      </c>
      <c r="O20">
        <v>125</v>
      </c>
      <c r="P20">
        <v>100</v>
      </c>
      <c r="Q20">
        <v>150</v>
      </c>
      <c r="R20">
        <v>150</v>
      </c>
      <c r="S20">
        <v>200</v>
      </c>
      <c r="T20" t="s">
        <v>339</v>
      </c>
      <c r="U20">
        <v>1</v>
      </c>
    </row>
    <row r="21" spans="1:21" x14ac:dyDescent="0.25">
      <c r="A21" t="s">
        <v>893</v>
      </c>
      <c r="B21" t="s">
        <v>896</v>
      </c>
      <c r="C21" t="s">
        <v>896</v>
      </c>
      <c r="D21" t="s">
        <v>111</v>
      </c>
      <c r="E21" t="s">
        <v>915</v>
      </c>
      <c r="F21" t="s">
        <v>916</v>
      </c>
      <c r="G21" t="s">
        <v>268</v>
      </c>
      <c r="H21" t="s">
        <v>69</v>
      </c>
      <c r="I21">
        <v>0</v>
      </c>
      <c r="J21">
        <v>1200</v>
      </c>
      <c r="K21">
        <v>39</v>
      </c>
      <c r="L21" t="s">
        <v>339</v>
      </c>
      <c r="M21">
        <v>35</v>
      </c>
      <c r="N21">
        <v>43</v>
      </c>
      <c r="O21">
        <v>180</v>
      </c>
      <c r="P21">
        <v>160</v>
      </c>
      <c r="Q21">
        <v>220</v>
      </c>
      <c r="R21">
        <v>140</v>
      </c>
      <c r="S21">
        <v>190</v>
      </c>
      <c r="T21" t="s">
        <v>339</v>
      </c>
      <c r="U21">
        <v>1</v>
      </c>
    </row>
    <row r="22" spans="1:21" x14ac:dyDescent="0.25">
      <c r="A22" t="s">
        <v>894</v>
      </c>
      <c r="B22" t="s">
        <v>897</v>
      </c>
      <c r="C22" t="s">
        <v>897</v>
      </c>
      <c r="D22" t="s">
        <v>111</v>
      </c>
      <c r="E22" t="s">
        <v>915</v>
      </c>
      <c r="F22" t="s">
        <v>916</v>
      </c>
      <c r="G22" t="s">
        <v>268</v>
      </c>
      <c r="H22" t="s">
        <v>69</v>
      </c>
      <c r="I22">
        <v>0</v>
      </c>
      <c r="J22">
        <v>1200</v>
      </c>
      <c r="K22">
        <v>34</v>
      </c>
      <c r="L22" t="s">
        <v>339</v>
      </c>
      <c r="M22">
        <v>30</v>
      </c>
      <c r="N22">
        <v>38</v>
      </c>
      <c r="O22">
        <v>290</v>
      </c>
      <c r="P22">
        <v>250</v>
      </c>
      <c r="Q22">
        <v>330</v>
      </c>
      <c r="R22">
        <v>135</v>
      </c>
      <c r="S22">
        <v>190</v>
      </c>
      <c r="T22" t="s">
        <v>339</v>
      </c>
      <c r="U22">
        <v>1</v>
      </c>
    </row>
    <row r="23" spans="1:21" x14ac:dyDescent="0.25">
      <c r="A23" t="s">
        <v>289</v>
      </c>
      <c r="B23" t="s">
        <v>1165</v>
      </c>
      <c r="C23" t="s">
        <v>1165</v>
      </c>
      <c r="D23" t="s">
        <v>111</v>
      </c>
      <c r="E23" t="s">
        <v>915</v>
      </c>
      <c r="F23" t="s">
        <v>916</v>
      </c>
      <c r="G23" t="s">
        <v>269</v>
      </c>
      <c r="H23" t="s">
        <v>69</v>
      </c>
      <c r="I23">
        <v>0</v>
      </c>
      <c r="J23">
        <v>1200</v>
      </c>
      <c r="K23">
        <v>0</v>
      </c>
      <c r="L23" t="s">
        <v>98</v>
      </c>
      <c r="T23" t="s">
        <v>98</v>
      </c>
      <c r="U23">
        <v>1</v>
      </c>
    </row>
    <row r="24" spans="1:21" x14ac:dyDescent="0.25">
      <c r="A24" t="s">
        <v>1164</v>
      </c>
      <c r="B24" t="s">
        <v>1166</v>
      </c>
      <c r="C24" t="s">
        <v>1166</v>
      </c>
      <c r="D24" t="s">
        <v>111</v>
      </c>
      <c r="E24" t="s">
        <v>915</v>
      </c>
      <c r="F24" t="s">
        <v>916</v>
      </c>
      <c r="G24" t="s">
        <v>269</v>
      </c>
      <c r="H24" t="s">
        <v>69</v>
      </c>
      <c r="I24">
        <v>0</v>
      </c>
      <c r="J24">
        <v>1200</v>
      </c>
      <c r="K24">
        <v>0</v>
      </c>
      <c r="L24" t="s">
        <v>98</v>
      </c>
      <c r="T24" t="s">
        <v>98</v>
      </c>
      <c r="U24">
        <v>2</v>
      </c>
    </row>
    <row r="25" spans="1:21" x14ac:dyDescent="0.25">
      <c r="A25" t="s">
        <v>549</v>
      </c>
      <c r="B25" t="s">
        <v>685</v>
      </c>
      <c r="C25" t="s">
        <v>685</v>
      </c>
      <c r="D25" t="s">
        <v>111</v>
      </c>
      <c r="E25" t="s">
        <v>915</v>
      </c>
      <c r="F25" t="s">
        <v>916</v>
      </c>
      <c r="G25" t="s">
        <v>576</v>
      </c>
      <c r="H25" t="s">
        <v>69</v>
      </c>
      <c r="I25">
        <v>0</v>
      </c>
      <c r="J25">
        <v>1200</v>
      </c>
      <c r="K25">
        <v>0</v>
      </c>
      <c r="L25" t="s">
        <v>98</v>
      </c>
      <c r="T25" t="s">
        <v>98</v>
      </c>
      <c r="U25">
        <v>1</v>
      </c>
    </row>
    <row r="26" spans="1:21" x14ac:dyDescent="0.25">
      <c r="A26" t="s">
        <v>663</v>
      </c>
      <c r="B26" t="s">
        <v>686</v>
      </c>
      <c r="C26" t="s">
        <v>686</v>
      </c>
      <c r="D26" t="s">
        <v>111</v>
      </c>
      <c r="E26" t="s">
        <v>915</v>
      </c>
      <c r="F26" t="s">
        <v>916</v>
      </c>
      <c r="G26" t="s">
        <v>576</v>
      </c>
      <c r="H26" t="s">
        <v>69</v>
      </c>
      <c r="I26">
        <v>0</v>
      </c>
      <c r="J26">
        <v>1200</v>
      </c>
      <c r="K26">
        <v>0</v>
      </c>
      <c r="L26" t="s">
        <v>98</v>
      </c>
      <c r="T26" t="s">
        <v>98</v>
      </c>
      <c r="U26">
        <v>1</v>
      </c>
    </row>
    <row r="27" spans="1:21" x14ac:dyDescent="0.25">
      <c r="A27" t="s">
        <v>664</v>
      </c>
      <c r="B27" t="s">
        <v>687</v>
      </c>
      <c r="C27" t="s">
        <v>687</v>
      </c>
      <c r="D27" t="s">
        <v>111</v>
      </c>
      <c r="E27" t="s">
        <v>915</v>
      </c>
      <c r="F27" t="s">
        <v>916</v>
      </c>
      <c r="G27" t="s">
        <v>576</v>
      </c>
      <c r="H27" t="s">
        <v>69</v>
      </c>
      <c r="I27">
        <v>0</v>
      </c>
      <c r="J27">
        <v>1200</v>
      </c>
      <c r="K27">
        <v>0</v>
      </c>
      <c r="L27" t="s">
        <v>98</v>
      </c>
      <c r="T27" t="s">
        <v>98</v>
      </c>
      <c r="U27">
        <v>1</v>
      </c>
    </row>
    <row r="28" spans="1:21" x14ac:dyDescent="0.25">
      <c r="A28" t="s">
        <v>665</v>
      </c>
      <c r="B28" t="s">
        <v>688</v>
      </c>
      <c r="C28" t="s">
        <v>688</v>
      </c>
      <c r="D28" t="s">
        <v>111</v>
      </c>
      <c r="E28" t="s">
        <v>915</v>
      </c>
      <c r="F28" t="s">
        <v>916</v>
      </c>
      <c r="G28" t="s">
        <v>576</v>
      </c>
      <c r="H28" t="s">
        <v>69</v>
      </c>
      <c r="I28">
        <v>0</v>
      </c>
      <c r="J28">
        <v>1200</v>
      </c>
      <c r="K28">
        <v>0</v>
      </c>
      <c r="L28" t="s">
        <v>98</v>
      </c>
      <c r="T28" t="s">
        <v>98</v>
      </c>
      <c r="U28">
        <v>1</v>
      </c>
    </row>
    <row r="29" spans="1:21" x14ac:dyDescent="0.25">
      <c r="A29" t="s">
        <v>666</v>
      </c>
      <c r="B29" t="s">
        <v>689</v>
      </c>
      <c r="C29" t="s">
        <v>689</v>
      </c>
      <c r="D29" t="s">
        <v>111</v>
      </c>
      <c r="E29" t="s">
        <v>915</v>
      </c>
      <c r="F29" t="s">
        <v>916</v>
      </c>
      <c r="G29" t="s">
        <v>566</v>
      </c>
      <c r="H29" t="s">
        <v>69</v>
      </c>
      <c r="I29">
        <v>0</v>
      </c>
      <c r="J29">
        <v>1200</v>
      </c>
      <c r="K29">
        <v>0</v>
      </c>
      <c r="L29" t="s">
        <v>98</v>
      </c>
      <c r="T29" t="s">
        <v>98</v>
      </c>
      <c r="U29">
        <v>1</v>
      </c>
    </row>
    <row r="30" spans="1:21" x14ac:dyDescent="0.25">
      <c r="A30" t="s">
        <v>667</v>
      </c>
      <c r="B30" t="s">
        <v>690</v>
      </c>
      <c r="C30" t="s">
        <v>690</v>
      </c>
      <c r="D30" t="s">
        <v>111</v>
      </c>
      <c r="E30" t="s">
        <v>915</v>
      </c>
      <c r="F30" t="s">
        <v>916</v>
      </c>
      <c r="G30" t="s">
        <v>566</v>
      </c>
      <c r="H30" t="s">
        <v>69</v>
      </c>
      <c r="I30">
        <v>0</v>
      </c>
      <c r="J30">
        <v>1200</v>
      </c>
      <c r="K30">
        <v>0</v>
      </c>
      <c r="L30" t="s">
        <v>98</v>
      </c>
      <c r="T30" t="s">
        <v>98</v>
      </c>
      <c r="U30">
        <v>1</v>
      </c>
    </row>
    <row r="31" spans="1:21" x14ac:dyDescent="0.25">
      <c r="A31" t="s">
        <v>668</v>
      </c>
      <c r="B31" t="s">
        <v>691</v>
      </c>
      <c r="C31" t="s">
        <v>691</v>
      </c>
      <c r="D31" t="s">
        <v>111</v>
      </c>
      <c r="E31" t="s">
        <v>915</v>
      </c>
      <c r="F31" t="s">
        <v>916</v>
      </c>
      <c r="G31" t="s">
        <v>564</v>
      </c>
      <c r="H31" t="s">
        <v>69</v>
      </c>
      <c r="I31">
        <v>0</v>
      </c>
      <c r="J31">
        <v>1200</v>
      </c>
      <c r="K31">
        <v>0</v>
      </c>
      <c r="L31" t="s">
        <v>98</v>
      </c>
      <c r="T31" t="s">
        <v>98</v>
      </c>
      <c r="U31">
        <v>1</v>
      </c>
    </row>
    <row r="34" spans="1:1" x14ac:dyDescent="0.25">
      <c r="A34" t="s">
        <v>540</v>
      </c>
    </row>
    <row r="35" spans="1:1" x14ac:dyDescent="0.25">
      <c r="A35" t="s">
        <v>541</v>
      </c>
    </row>
    <row r="36" spans="1:1" x14ac:dyDescent="0.25">
      <c r="A36" t="s">
        <v>542</v>
      </c>
    </row>
  </sheetData>
  <pageMargins left="0.7" right="0.7" top="0.78740157499999996" bottom="0.78740157499999996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5"/>
  <dimension ref="A1:H68"/>
  <sheetViews>
    <sheetView workbookViewId="0">
      <selection activeCell="A32" sqref="A32"/>
    </sheetView>
  </sheetViews>
  <sheetFormatPr defaultColWidth="11.42578125" defaultRowHeight="15" x14ac:dyDescent="0.25"/>
  <cols>
    <col min="1" max="1" width="37.28515625" bestFit="1" customWidth="1"/>
    <col min="2" max="2" width="36.85546875" bestFit="1" customWidth="1"/>
    <col min="3" max="3" width="39" bestFit="1" customWidth="1"/>
    <col min="6" max="6" width="39.5703125" bestFit="1" customWidth="1"/>
  </cols>
  <sheetData>
    <row r="1" spans="1:4" x14ac:dyDescent="0.25">
      <c r="A1" t="s">
        <v>265</v>
      </c>
    </row>
    <row r="2" spans="1:4" x14ac:dyDescent="0.25">
      <c r="B2" t="s">
        <v>101</v>
      </c>
      <c r="C2" t="s">
        <v>101</v>
      </c>
    </row>
    <row r="3" spans="1:4" x14ac:dyDescent="0.25">
      <c r="A3" t="s">
        <v>0</v>
      </c>
      <c r="B3" t="s">
        <v>91</v>
      </c>
      <c r="C3" t="s">
        <v>263</v>
      </c>
      <c r="D3" t="s">
        <v>753</v>
      </c>
    </row>
    <row r="4" spans="1:4" x14ac:dyDescent="0.25">
      <c r="A4" t="s">
        <v>275</v>
      </c>
      <c r="B4" t="s">
        <v>271</v>
      </c>
      <c r="C4" t="s">
        <v>264</v>
      </c>
      <c r="D4">
        <v>0</v>
      </c>
    </row>
    <row r="5" spans="1:4" x14ac:dyDescent="0.25">
      <c r="A5" t="s">
        <v>276</v>
      </c>
      <c r="B5" t="s">
        <v>272</v>
      </c>
      <c r="C5" t="s">
        <v>264</v>
      </c>
      <c r="D5">
        <v>0</v>
      </c>
    </row>
    <row r="6" spans="1:4" x14ac:dyDescent="0.25">
      <c r="A6" t="s">
        <v>277</v>
      </c>
      <c r="B6" t="s">
        <v>273</v>
      </c>
      <c r="C6" t="s">
        <v>264</v>
      </c>
      <c r="D6">
        <v>0</v>
      </c>
    </row>
    <row r="7" spans="1:4" x14ac:dyDescent="0.25">
      <c r="A7" t="s">
        <v>278</v>
      </c>
      <c r="B7" t="s">
        <v>274</v>
      </c>
      <c r="C7" t="s">
        <v>264</v>
      </c>
      <c r="D7">
        <v>0</v>
      </c>
    </row>
    <row r="8" spans="1:4" x14ac:dyDescent="0.25">
      <c r="A8" t="s">
        <v>546</v>
      </c>
      <c r="B8" t="s">
        <v>543</v>
      </c>
      <c r="C8" t="s">
        <v>264</v>
      </c>
      <c r="D8">
        <v>0</v>
      </c>
    </row>
    <row r="9" spans="1:4" x14ac:dyDescent="0.25">
      <c r="A9" t="s">
        <v>547</v>
      </c>
      <c r="B9" t="s">
        <v>544</v>
      </c>
      <c r="C9" t="s">
        <v>264</v>
      </c>
      <c r="D9">
        <v>0</v>
      </c>
    </row>
    <row r="10" spans="1:4" x14ac:dyDescent="0.25">
      <c r="A10" t="s">
        <v>548</v>
      </c>
      <c r="B10" t="s">
        <v>545</v>
      </c>
      <c r="C10" t="s">
        <v>264</v>
      </c>
      <c r="D10">
        <v>0</v>
      </c>
    </row>
    <row r="11" spans="1:4" x14ac:dyDescent="0.25">
      <c r="A11" t="s">
        <v>752</v>
      </c>
      <c r="B11" t="s">
        <v>750</v>
      </c>
      <c r="C11" t="s">
        <v>264</v>
      </c>
      <c r="D11">
        <v>1</v>
      </c>
    </row>
    <row r="12" spans="1:4" x14ac:dyDescent="0.25">
      <c r="A12" t="s">
        <v>281</v>
      </c>
      <c r="B12" t="s">
        <v>279</v>
      </c>
      <c r="C12" t="s">
        <v>267</v>
      </c>
      <c r="D12">
        <v>0</v>
      </c>
    </row>
    <row r="13" spans="1:4" x14ac:dyDescent="0.25">
      <c r="A13" t="s">
        <v>282</v>
      </c>
      <c r="B13" t="s">
        <v>280</v>
      </c>
      <c r="C13" t="s">
        <v>267</v>
      </c>
      <c r="D13">
        <v>0</v>
      </c>
    </row>
    <row r="14" spans="1:4" x14ac:dyDescent="0.25">
      <c r="A14" t="s">
        <v>286</v>
      </c>
      <c r="B14" t="s">
        <v>283</v>
      </c>
      <c r="C14" t="s">
        <v>268</v>
      </c>
      <c r="D14">
        <v>0</v>
      </c>
    </row>
    <row r="15" spans="1:4" x14ac:dyDescent="0.25">
      <c r="A15" t="s">
        <v>287</v>
      </c>
      <c r="B15" t="s">
        <v>284</v>
      </c>
      <c r="C15" t="s">
        <v>268</v>
      </c>
      <c r="D15">
        <v>0</v>
      </c>
    </row>
    <row r="16" spans="1:4" x14ac:dyDescent="0.25">
      <c r="A16" t="s">
        <v>288</v>
      </c>
      <c r="B16" t="s">
        <v>285</v>
      </c>
      <c r="C16" t="s">
        <v>268</v>
      </c>
      <c r="D16">
        <v>0</v>
      </c>
    </row>
    <row r="17" spans="1:8" x14ac:dyDescent="0.25">
      <c r="A17" t="s">
        <v>898</v>
      </c>
      <c r="B17" t="s">
        <v>889</v>
      </c>
      <c r="C17" t="s">
        <v>268</v>
      </c>
      <c r="D17">
        <v>0</v>
      </c>
    </row>
    <row r="18" spans="1:8" x14ac:dyDescent="0.25">
      <c r="A18" t="s">
        <v>899</v>
      </c>
      <c r="B18" t="s">
        <v>890</v>
      </c>
      <c r="C18" t="s">
        <v>268</v>
      </c>
      <c r="D18">
        <v>0</v>
      </c>
    </row>
    <row r="19" spans="1:8" x14ac:dyDescent="0.25">
      <c r="A19" t="s">
        <v>900</v>
      </c>
      <c r="B19" t="s">
        <v>891</v>
      </c>
      <c r="C19" t="s">
        <v>268</v>
      </c>
      <c r="D19">
        <v>0</v>
      </c>
    </row>
    <row r="20" spans="1:8" x14ac:dyDescent="0.25">
      <c r="A20" t="s">
        <v>901</v>
      </c>
      <c r="B20" t="s">
        <v>892</v>
      </c>
      <c r="C20" t="s">
        <v>268</v>
      </c>
      <c r="D20">
        <v>0</v>
      </c>
    </row>
    <row r="21" spans="1:8" x14ac:dyDescent="0.25">
      <c r="A21" t="s">
        <v>902</v>
      </c>
      <c r="B21" t="s">
        <v>893</v>
      </c>
      <c r="C21" t="s">
        <v>268</v>
      </c>
      <c r="D21">
        <v>0</v>
      </c>
    </row>
    <row r="22" spans="1:8" x14ac:dyDescent="0.25">
      <c r="A22" t="s">
        <v>903</v>
      </c>
      <c r="B22" t="s">
        <v>894</v>
      </c>
      <c r="C22" t="s">
        <v>268</v>
      </c>
      <c r="D22">
        <v>0</v>
      </c>
    </row>
    <row r="23" spans="1:8" x14ac:dyDescent="0.25">
      <c r="A23" t="s">
        <v>290</v>
      </c>
      <c r="B23" t="s">
        <v>289</v>
      </c>
      <c r="C23" t="s">
        <v>269</v>
      </c>
      <c r="D23">
        <v>0</v>
      </c>
    </row>
    <row r="24" spans="1:8" x14ac:dyDescent="0.25">
      <c r="A24" t="s">
        <v>1168</v>
      </c>
      <c r="B24" t="s">
        <v>1164</v>
      </c>
      <c r="C24" t="s">
        <v>269</v>
      </c>
      <c r="D24">
        <v>0</v>
      </c>
    </row>
    <row r="25" spans="1:8" x14ac:dyDescent="0.25">
      <c r="A25" t="s">
        <v>669</v>
      </c>
      <c r="B25" t="s">
        <v>549</v>
      </c>
      <c r="C25" t="s">
        <v>576</v>
      </c>
      <c r="D25">
        <v>0</v>
      </c>
    </row>
    <row r="26" spans="1:8" x14ac:dyDescent="0.25">
      <c r="A26" t="s">
        <v>670</v>
      </c>
      <c r="B26" t="s">
        <v>663</v>
      </c>
      <c r="C26" t="s">
        <v>576</v>
      </c>
      <c r="D26">
        <v>0</v>
      </c>
    </row>
    <row r="27" spans="1:8" x14ac:dyDescent="0.25">
      <c r="A27" t="s">
        <v>671</v>
      </c>
      <c r="B27" t="s">
        <v>664</v>
      </c>
      <c r="C27" t="s">
        <v>576</v>
      </c>
      <c r="D27">
        <v>0</v>
      </c>
    </row>
    <row r="28" spans="1:8" x14ac:dyDescent="0.25">
      <c r="A28" t="s">
        <v>672</v>
      </c>
      <c r="B28" t="s">
        <v>665</v>
      </c>
      <c r="C28" t="s">
        <v>576</v>
      </c>
      <c r="D28">
        <v>0</v>
      </c>
    </row>
    <row r="29" spans="1:8" x14ac:dyDescent="0.25">
      <c r="A29" t="s">
        <v>673</v>
      </c>
      <c r="B29" t="s">
        <v>666</v>
      </c>
      <c r="C29" t="s">
        <v>566</v>
      </c>
      <c r="D29">
        <v>0</v>
      </c>
      <c r="F29" t="s">
        <v>623</v>
      </c>
    </row>
    <row r="30" spans="1:8" x14ac:dyDescent="0.25">
      <c r="A30" t="s">
        <v>674</v>
      </c>
      <c r="B30" t="s">
        <v>667</v>
      </c>
      <c r="C30" t="s">
        <v>566</v>
      </c>
      <c r="D30">
        <v>0</v>
      </c>
      <c r="F30" t="s">
        <v>550</v>
      </c>
      <c r="G30" t="s">
        <v>584</v>
      </c>
      <c r="H30" t="s">
        <v>624</v>
      </c>
    </row>
    <row r="31" spans="1:8" x14ac:dyDescent="0.25">
      <c r="A31" t="s">
        <v>675</v>
      </c>
      <c r="B31" t="s">
        <v>668</v>
      </c>
      <c r="C31" t="s">
        <v>564</v>
      </c>
      <c r="D31">
        <v>0</v>
      </c>
      <c r="F31" t="s">
        <v>267</v>
      </c>
      <c r="G31" t="s">
        <v>585</v>
      </c>
      <c r="H31" t="s">
        <v>625</v>
      </c>
    </row>
    <row r="32" spans="1:8" x14ac:dyDescent="0.25">
      <c r="F32" t="s">
        <v>551</v>
      </c>
      <c r="G32" t="s">
        <v>586</v>
      </c>
      <c r="H32" t="s">
        <v>626</v>
      </c>
    </row>
    <row r="33" spans="6:8" x14ac:dyDescent="0.25">
      <c r="F33" t="s">
        <v>552</v>
      </c>
      <c r="G33" t="s">
        <v>587</v>
      </c>
      <c r="H33" t="s">
        <v>627</v>
      </c>
    </row>
    <row r="34" spans="6:8" x14ac:dyDescent="0.25">
      <c r="F34" t="s">
        <v>264</v>
      </c>
      <c r="G34" t="s">
        <v>588</v>
      </c>
      <c r="H34" t="s">
        <v>628</v>
      </c>
    </row>
    <row r="35" spans="6:8" x14ac:dyDescent="0.25">
      <c r="F35" t="s">
        <v>553</v>
      </c>
      <c r="G35" t="s">
        <v>589</v>
      </c>
      <c r="H35" t="s">
        <v>629</v>
      </c>
    </row>
    <row r="36" spans="6:8" x14ac:dyDescent="0.25">
      <c r="F36" t="s">
        <v>554</v>
      </c>
      <c r="G36" t="s">
        <v>590</v>
      </c>
      <c r="H36" t="s">
        <v>630</v>
      </c>
    </row>
    <row r="37" spans="6:8" x14ac:dyDescent="0.25">
      <c r="F37" t="s">
        <v>268</v>
      </c>
      <c r="G37" t="s">
        <v>591</v>
      </c>
      <c r="H37" t="s">
        <v>631</v>
      </c>
    </row>
    <row r="38" spans="6:8" x14ac:dyDescent="0.25">
      <c r="F38" t="s">
        <v>555</v>
      </c>
      <c r="G38" t="s">
        <v>592</v>
      </c>
      <c r="H38" t="s">
        <v>632</v>
      </c>
    </row>
    <row r="39" spans="6:8" x14ac:dyDescent="0.25">
      <c r="F39" t="s">
        <v>556</v>
      </c>
      <c r="G39" t="s">
        <v>593</v>
      </c>
      <c r="H39" t="s">
        <v>633</v>
      </c>
    </row>
    <row r="40" spans="6:8" x14ac:dyDescent="0.25">
      <c r="F40" t="s">
        <v>557</v>
      </c>
      <c r="G40" t="s">
        <v>594</v>
      </c>
      <c r="H40" t="s">
        <v>634</v>
      </c>
    </row>
    <row r="41" spans="6:8" x14ac:dyDescent="0.25">
      <c r="F41" s="1" t="s">
        <v>558</v>
      </c>
      <c r="G41" t="s">
        <v>595</v>
      </c>
      <c r="H41" t="s">
        <v>635</v>
      </c>
    </row>
    <row r="42" spans="6:8" x14ac:dyDescent="0.25">
      <c r="F42" t="s">
        <v>559</v>
      </c>
      <c r="G42" t="s">
        <v>596</v>
      </c>
      <c r="H42" t="s">
        <v>636</v>
      </c>
    </row>
    <row r="43" spans="6:8" x14ac:dyDescent="0.25">
      <c r="F43" t="s">
        <v>560</v>
      </c>
      <c r="G43" t="s">
        <v>597</v>
      </c>
      <c r="H43" t="s">
        <v>637</v>
      </c>
    </row>
    <row r="44" spans="6:8" x14ac:dyDescent="0.25">
      <c r="F44" t="s">
        <v>561</v>
      </c>
      <c r="G44" t="s">
        <v>598</v>
      </c>
      <c r="H44" t="s">
        <v>638</v>
      </c>
    </row>
    <row r="45" spans="6:8" x14ac:dyDescent="0.25">
      <c r="F45" t="s">
        <v>562</v>
      </c>
      <c r="G45" t="s">
        <v>599</v>
      </c>
      <c r="H45" t="s">
        <v>639</v>
      </c>
    </row>
    <row r="46" spans="6:8" x14ac:dyDescent="0.25">
      <c r="F46" t="s">
        <v>563</v>
      </c>
      <c r="G46" t="s">
        <v>600</v>
      </c>
      <c r="H46" t="s">
        <v>640</v>
      </c>
    </row>
    <row r="47" spans="6:8" x14ac:dyDescent="0.25">
      <c r="F47" t="s">
        <v>564</v>
      </c>
      <c r="G47" t="s">
        <v>601</v>
      </c>
      <c r="H47" t="s">
        <v>641</v>
      </c>
    </row>
    <row r="48" spans="6:8" x14ac:dyDescent="0.25">
      <c r="F48" t="s">
        <v>269</v>
      </c>
      <c r="G48" t="s">
        <v>602</v>
      </c>
      <c r="H48" t="s">
        <v>642</v>
      </c>
    </row>
    <row r="49" spans="6:8" x14ac:dyDescent="0.25">
      <c r="F49" t="s">
        <v>565</v>
      </c>
      <c r="G49" t="s">
        <v>603</v>
      </c>
      <c r="H49" t="s">
        <v>643</v>
      </c>
    </row>
    <row r="50" spans="6:8" x14ac:dyDescent="0.25">
      <c r="F50" t="s">
        <v>566</v>
      </c>
      <c r="G50" t="s">
        <v>604</v>
      </c>
      <c r="H50" t="s">
        <v>644</v>
      </c>
    </row>
    <row r="51" spans="6:8" x14ac:dyDescent="0.25">
      <c r="F51" t="s">
        <v>567</v>
      </c>
      <c r="G51" t="s">
        <v>605</v>
      </c>
      <c r="H51" t="s">
        <v>645</v>
      </c>
    </row>
    <row r="52" spans="6:8" x14ac:dyDescent="0.25">
      <c r="F52" t="s">
        <v>568</v>
      </c>
      <c r="G52" t="s">
        <v>606</v>
      </c>
      <c r="H52" t="s">
        <v>646</v>
      </c>
    </row>
    <row r="53" spans="6:8" x14ac:dyDescent="0.25">
      <c r="F53" t="s">
        <v>569</v>
      </c>
      <c r="G53" t="s">
        <v>607</v>
      </c>
      <c r="H53" t="s">
        <v>647</v>
      </c>
    </row>
    <row r="54" spans="6:8" x14ac:dyDescent="0.25">
      <c r="F54" t="s">
        <v>570</v>
      </c>
      <c r="G54" t="s">
        <v>608</v>
      </c>
      <c r="H54" t="s">
        <v>648</v>
      </c>
    </row>
    <row r="55" spans="6:8" x14ac:dyDescent="0.25">
      <c r="F55" t="s">
        <v>270</v>
      </c>
      <c r="G55" t="s">
        <v>609</v>
      </c>
      <c r="H55" t="s">
        <v>649</v>
      </c>
    </row>
    <row r="56" spans="6:8" x14ac:dyDescent="0.25">
      <c r="F56" t="s">
        <v>571</v>
      </c>
      <c r="G56" t="s">
        <v>610</v>
      </c>
      <c r="H56" t="s">
        <v>650</v>
      </c>
    </row>
    <row r="57" spans="6:8" x14ac:dyDescent="0.25">
      <c r="F57" t="s">
        <v>572</v>
      </c>
      <c r="G57" t="s">
        <v>611</v>
      </c>
      <c r="H57" t="s">
        <v>651</v>
      </c>
    </row>
    <row r="58" spans="6:8" x14ac:dyDescent="0.25">
      <c r="F58" t="s">
        <v>573</v>
      </c>
      <c r="G58" t="s">
        <v>612</v>
      </c>
      <c r="H58" t="s">
        <v>652</v>
      </c>
    </row>
    <row r="59" spans="6:8" x14ac:dyDescent="0.25">
      <c r="F59" t="s">
        <v>574</v>
      </c>
      <c r="G59" t="s">
        <v>613</v>
      </c>
      <c r="H59" t="s">
        <v>653</v>
      </c>
    </row>
    <row r="60" spans="6:8" x14ac:dyDescent="0.25">
      <c r="F60" t="s">
        <v>575</v>
      </c>
      <c r="G60" t="s">
        <v>614</v>
      </c>
      <c r="H60" t="s">
        <v>654</v>
      </c>
    </row>
    <row r="61" spans="6:8" x14ac:dyDescent="0.25">
      <c r="F61" t="s">
        <v>576</v>
      </c>
      <c r="G61" t="s">
        <v>615</v>
      </c>
      <c r="H61" t="s">
        <v>655</v>
      </c>
    </row>
    <row r="62" spans="6:8" x14ac:dyDescent="0.25">
      <c r="F62" t="s">
        <v>577</v>
      </c>
      <c r="G62" t="s">
        <v>616</v>
      </c>
      <c r="H62" t="s">
        <v>656</v>
      </c>
    </row>
    <row r="63" spans="6:8" x14ac:dyDescent="0.25">
      <c r="F63" t="s">
        <v>578</v>
      </c>
      <c r="G63" t="s">
        <v>617</v>
      </c>
      <c r="H63" t="s">
        <v>657</v>
      </c>
    </row>
    <row r="64" spans="6:8" x14ac:dyDescent="0.25">
      <c r="F64" t="s">
        <v>579</v>
      </c>
      <c r="G64" t="s">
        <v>618</v>
      </c>
      <c r="H64" t="s">
        <v>658</v>
      </c>
    </row>
    <row r="65" spans="6:8" x14ac:dyDescent="0.25">
      <c r="F65" t="s">
        <v>580</v>
      </c>
      <c r="G65" t="s">
        <v>619</v>
      </c>
      <c r="H65" t="s">
        <v>659</v>
      </c>
    </row>
    <row r="66" spans="6:8" x14ac:dyDescent="0.25">
      <c r="F66" t="s">
        <v>581</v>
      </c>
      <c r="G66" t="s">
        <v>620</v>
      </c>
      <c r="H66" t="s">
        <v>660</v>
      </c>
    </row>
    <row r="67" spans="6:8" x14ac:dyDescent="0.25">
      <c r="F67" t="s">
        <v>582</v>
      </c>
      <c r="G67" t="s">
        <v>621</v>
      </c>
      <c r="H67" t="s">
        <v>661</v>
      </c>
    </row>
    <row r="68" spans="6:8" x14ac:dyDescent="0.25">
      <c r="F68" t="s">
        <v>583</v>
      </c>
      <c r="G68" t="s">
        <v>622</v>
      </c>
      <c r="H68" t="s">
        <v>662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F8"/>
  <sheetViews>
    <sheetView workbookViewId="0">
      <selection activeCell="A9" sqref="A9"/>
    </sheetView>
  </sheetViews>
  <sheetFormatPr defaultColWidth="11.42578125" defaultRowHeight="15" x14ac:dyDescent="0.25"/>
  <cols>
    <col min="1" max="1" width="37" bestFit="1" customWidth="1"/>
    <col min="2" max="3" width="21" bestFit="1" customWidth="1"/>
    <col min="4" max="4" width="39.5703125" bestFit="1" customWidth="1"/>
    <col min="5" max="5" width="38.42578125" bestFit="1" customWidth="1"/>
  </cols>
  <sheetData>
    <row r="1" spans="1:6" x14ac:dyDescent="0.25">
      <c r="A1" t="s">
        <v>97</v>
      </c>
    </row>
    <row r="2" spans="1:6" x14ac:dyDescent="0.25">
      <c r="D2" t="s">
        <v>101</v>
      </c>
      <c r="E2" t="s">
        <v>101</v>
      </c>
    </row>
    <row r="3" spans="1:6" x14ac:dyDescent="0.25">
      <c r="A3" t="s">
        <v>0</v>
      </c>
      <c r="B3" t="s">
        <v>2</v>
      </c>
      <c r="C3" t="s">
        <v>1</v>
      </c>
      <c r="D3" t="s">
        <v>55</v>
      </c>
      <c r="E3" t="s">
        <v>67</v>
      </c>
      <c r="F3" t="s">
        <v>352</v>
      </c>
    </row>
    <row r="4" spans="1:6" x14ac:dyDescent="0.25">
      <c r="A4" t="s">
        <v>293</v>
      </c>
      <c r="B4" t="s">
        <v>291</v>
      </c>
      <c r="C4" t="s">
        <v>292</v>
      </c>
      <c r="D4" t="s">
        <v>57</v>
      </c>
      <c r="E4" t="s">
        <v>100</v>
      </c>
      <c r="F4" t="s">
        <v>337</v>
      </c>
    </row>
    <row r="5" spans="1:6" x14ac:dyDescent="0.25">
      <c r="A5" t="s">
        <v>452</v>
      </c>
      <c r="B5" t="s">
        <v>454</v>
      </c>
      <c r="C5" t="s">
        <v>455</v>
      </c>
      <c r="D5" t="s">
        <v>446</v>
      </c>
      <c r="E5" t="s">
        <v>100</v>
      </c>
      <c r="F5" t="s">
        <v>337</v>
      </c>
    </row>
    <row r="6" spans="1:6" x14ac:dyDescent="0.25">
      <c r="A6" t="s">
        <v>453</v>
      </c>
      <c r="B6" t="s">
        <v>456</v>
      </c>
      <c r="C6" t="s">
        <v>457</v>
      </c>
      <c r="D6" t="s">
        <v>447</v>
      </c>
      <c r="E6" t="s">
        <v>100</v>
      </c>
      <c r="F6" t="s">
        <v>337</v>
      </c>
    </row>
    <row r="7" spans="1:6" x14ac:dyDescent="0.25">
      <c r="A7" t="s">
        <v>754</v>
      </c>
      <c r="B7" t="s">
        <v>755</v>
      </c>
      <c r="C7" t="s">
        <v>755</v>
      </c>
      <c r="D7" t="s">
        <v>447</v>
      </c>
      <c r="E7" t="s">
        <v>100</v>
      </c>
      <c r="F7" t="s">
        <v>337</v>
      </c>
    </row>
    <row r="8" spans="1:6" x14ac:dyDescent="0.25">
      <c r="A8" t="s">
        <v>841</v>
      </c>
      <c r="B8" t="s">
        <v>840</v>
      </c>
      <c r="C8" t="s">
        <v>840</v>
      </c>
      <c r="D8" t="s">
        <v>57</v>
      </c>
      <c r="E8" t="s">
        <v>100</v>
      </c>
      <c r="F8" t="s">
        <v>337</v>
      </c>
    </row>
  </sheetData>
  <pageMargins left="0.7" right="0.7" top="0.78740157499999996" bottom="0.78740157499999996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C8"/>
  <sheetViews>
    <sheetView workbookViewId="0">
      <selection activeCell="A9" sqref="A9"/>
    </sheetView>
  </sheetViews>
  <sheetFormatPr defaultColWidth="11.42578125" defaultRowHeight="15" x14ac:dyDescent="0.25"/>
  <cols>
    <col min="1" max="1" width="36.85546875" bestFit="1" customWidth="1"/>
    <col min="2" max="2" width="16.85546875" customWidth="1"/>
    <col min="3" max="3" width="14.140625" customWidth="1"/>
    <col min="4" max="4" width="38.140625" customWidth="1"/>
    <col min="5" max="5" width="39.140625" customWidth="1"/>
  </cols>
  <sheetData>
    <row r="1" spans="1:3" x14ac:dyDescent="0.25">
      <c r="A1" t="s">
        <v>295</v>
      </c>
    </row>
    <row r="3" spans="1:3" x14ac:dyDescent="0.25">
      <c r="A3" t="s">
        <v>0</v>
      </c>
      <c r="B3" t="s">
        <v>2</v>
      </c>
      <c r="C3" t="s">
        <v>1</v>
      </c>
    </row>
    <row r="4" spans="1:3" x14ac:dyDescent="0.25">
      <c r="A4" t="s">
        <v>297</v>
      </c>
      <c r="B4" t="s">
        <v>298</v>
      </c>
      <c r="C4" t="s">
        <v>298</v>
      </c>
    </row>
    <row r="5" spans="1:3" x14ac:dyDescent="0.25">
      <c r="A5" t="s">
        <v>458</v>
      </c>
      <c r="B5" t="s">
        <v>460</v>
      </c>
      <c r="C5" t="s">
        <v>460</v>
      </c>
    </row>
    <row r="6" spans="1:3" x14ac:dyDescent="0.25">
      <c r="A6" t="s">
        <v>459</v>
      </c>
      <c r="B6" t="s">
        <v>461</v>
      </c>
      <c r="C6" t="s">
        <v>461</v>
      </c>
    </row>
    <row r="7" spans="1:3" x14ac:dyDescent="0.25">
      <c r="A7" t="s">
        <v>758</v>
      </c>
      <c r="B7" t="s">
        <v>756</v>
      </c>
      <c r="C7" t="s">
        <v>756</v>
      </c>
    </row>
    <row r="8" spans="1:3" x14ac:dyDescent="0.25">
      <c r="A8" t="s">
        <v>842</v>
      </c>
      <c r="B8" t="s">
        <v>843</v>
      </c>
      <c r="C8" t="s">
        <v>843</v>
      </c>
    </row>
  </sheetData>
  <pageMargins left="0.7" right="0.7" top="0.78740157499999996" bottom="0.78740157499999996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C8"/>
  <sheetViews>
    <sheetView workbookViewId="0">
      <selection activeCell="A9" sqref="A9"/>
    </sheetView>
  </sheetViews>
  <sheetFormatPr defaultColWidth="11.42578125" defaultRowHeight="15" x14ac:dyDescent="0.25"/>
  <cols>
    <col min="1" max="1" width="37.140625" bestFit="1" customWidth="1"/>
    <col min="2" max="2" width="37" bestFit="1" customWidth="1"/>
    <col min="3" max="3" width="39" bestFit="1" customWidth="1"/>
  </cols>
  <sheetData>
    <row r="1" spans="1:3" x14ac:dyDescent="0.25">
      <c r="A1" t="s">
        <v>299</v>
      </c>
    </row>
    <row r="2" spans="1:3" x14ac:dyDescent="0.25">
      <c r="B2" t="s">
        <v>101</v>
      </c>
      <c r="C2" t="s">
        <v>101</v>
      </c>
    </row>
    <row r="3" spans="1:3" x14ac:dyDescent="0.25">
      <c r="A3" t="s">
        <v>0</v>
      </c>
      <c r="B3" t="s">
        <v>97</v>
      </c>
      <c r="C3" t="s">
        <v>295</v>
      </c>
    </row>
    <row r="4" spans="1:3" x14ac:dyDescent="0.25">
      <c r="A4" t="s">
        <v>301</v>
      </c>
      <c r="B4" t="s">
        <v>293</v>
      </c>
      <c r="C4" t="s">
        <v>297</v>
      </c>
    </row>
    <row r="5" spans="1:3" x14ac:dyDescent="0.25">
      <c r="A5" t="s">
        <v>462</v>
      </c>
      <c r="B5" t="s">
        <v>452</v>
      </c>
      <c r="C5" t="s">
        <v>458</v>
      </c>
    </row>
    <row r="6" spans="1:3" x14ac:dyDescent="0.25">
      <c r="A6" t="s">
        <v>463</v>
      </c>
      <c r="B6" t="s">
        <v>453</v>
      </c>
      <c r="C6" t="s">
        <v>459</v>
      </c>
    </row>
    <row r="7" spans="1:3" x14ac:dyDescent="0.25">
      <c r="A7" t="s">
        <v>757</v>
      </c>
      <c r="B7" t="s">
        <v>754</v>
      </c>
      <c r="C7" t="s">
        <v>758</v>
      </c>
    </row>
    <row r="8" spans="1:3" x14ac:dyDescent="0.25">
      <c r="A8" t="s">
        <v>844</v>
      </c>
      <c r="B8" t="s">
        <v>841</v>
      </c>
      <c r="C8" t="s">
        <v>842</v>
      </c>
    </row>
  </sheetData>
  <pageMargins left="0.7" right="0.7" top="0.78740157499999996" bottom="0.78740157499999996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0"/>
  <dimension ref="A1:D4"/>
  <sheetViews>
    <sheetView workbookViewId="0">
      <selection activeCell="A5" sqref="A5"/>
    </sheetView>
  </sheetViews>
  <sheetFormatPr defaultColWidth="11.42578125" defaultRowHeight="15" x14ac:dyDescent="0.25"/>
  <cols>
    <col min="1" max="1" width="36.85546875" bestFit="1" customWidth="1"/>
    <col min="2" max="2" width="21.7109375" bestFit="1" customWidth="1"/>
    <col min="3" max="3" width="14.140625" customWidth="1"/>
    <col min="4" max="4" width="22.42578125" customWidth="1"/>
    <col min="5" max="5" width="39.140625" customWidth="1"/>
  </cols>
  <sheetData>
    <row r="1" spans="1:4" x14ac:dyDescent="0.25">
      <c r="A1" t="s">
        <v>1070</v>
      </c>
    </row>
    <row r="3" spans="1:4" x14ac:dyDescent="0.25">
      <c r="A3" t="s">
        <v>0</v>
      </c>
      <c r="B3" t="s">
        <v>1075</v>
      </c>
      <c r="C3" t="s">
        <v>2</v>
      </c>
      <c r="D3" t="s">
        <v>1076</v>
      </c>
    </row>
    <row r="4" spans="1:4" x14ac:dyDescent="0.25">
      <c r="A4" t="s">
        <v>1074</v>
      </c>
      <c r="B4" t="s">
        <v>1078</v>
      </c>
      <c r="C4" t="s">
        <v>1077</v>
      </c>
      <c r="D4">
        <v>-5715515</v>
      </c>
    </row>
  </sheetData>
  <pageMargins left="0.7" right="0.7" top="0.78740157499999996" bottom="0.78740157499999996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1"/>
  <dimension ref="A1:C4"/>
  <sheetViews>
    <sheetView workbookViewId="0">
      <selection activeCell="A5" sqref="A5"/>
    </sheetView>
  </sheetViews>
  <sheetFormatPr defaultColWidth="11.42578125" defaultRowHeight="15" x14ac:dyDescent="0.25"/>
  <cols>
    <col min="1" max="1" width="37.140625" bestFit="1" customWidth="1"/>
    <col min="2" max="2" width="37" bestFit="1" customWidth="1"/>
    <col min="3" max="3" width="39" bestFit="1" customWidth="1"/>
  </cols>
  <sheetData>
    <row r="1" spans="1:3" x14ac:dyDescent="0.25">
      <c r="A1" t="s">
        <v>1073</v>
      </c>
    </row>
    <row r="2" spans="1:3" x14ac:dyDescent="0.25">
      <c r="B2" t="s">
        <v>101</v>
      </c>
      <c r="C2" t="s">
        <v>101</v>
      </c>
    </row>
    <row r="3" spans="1:3" x14ac:dyDescent="0.25">
      <c r="A3" t="s">
        <v>0</v>
      </c>
      <c r="B3" t="s">
        <v>295</v>
      </c>
      <c r="C3" t="s">
        <v>1070</v>
      </c>
    </row>
    <row r="4" spans="1:3" x14ac:dyDescent="0.25">
      <c r="A4" t="s">
        <v>1079</v>
      </c>
      <c r="B4" t="s">
        <v>297</v>
      </c>
      <c r="C4" t="s">
        <v>1074</v>
      </c>
    </row>
  </sheetData>
  <pageMargins left="0.7" right="0.7" top="0.78740157499999996" bottom="0.78740157499999996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9"/>
  <dimension ref="A1:E37"/>
  <sheetViews>
    <sheetView workbookViewId="0">
      <selection activeCell="A10" sqref="A10"/>
    </sheetView>
  </sheetViews>
  <sheetFormatPr defaultColWidth="11.42578125" defaultRowHeight="15" x14ac:dyDescent="0.25"/>
  <cols>
    <col min="1" max="1" width="37.5703125" bestFit="1" customWidth="1"/>
    <col min="2" max="2" width="36.85546875" bestFit="1" customWidth="1"/>
    <col min="3" max="3" width="37.140625" bestFit="1" customWidth="1"/>
    <col min="4" max="4" width="20.85546875" customWidth="1"/>
    <col min="5" max="5" width="39.5703125" bestFit="1" customWidth="1"/>
  </cols>
  <sheetData>
    <row r="1" spans="1:5" x14ac:dyDescent="0.25">
      <c r="A1" t="s">
        <v>302</v>
      </c>
    </row>
    <row r="2" spans="1:5" x14ac:dyDescent="0.25">
      <c r="B2" t="s">
        <v>101</v>
      </c>
      <c r="C2" t="s">
        <v>101</v>
      </c>
      <c r="E2" t="s">
        <v>101</v>
      </c>
    </row>
    <row r="3" spans="1:5" x14ac:dyDescent="0.25">
      <c r="A3" t="s">
        <v>0</v>
      </c>
      <c r="B3" t="s">
        <v>295</v>
      </c>
      <c r="C3" t="s">
        <v>35</v>
      </c>
      <c r="D3" t="s">
        <v>303</v>
      </c>
      <c r="E3" t="s">
        <v>305</v>
      </c>
    </row>
    <row r="4" spans="1:5" x14ac:dyDescent="0.25">
      <c r="A4" t="s">
        <v>308</v>
      </c>
      <c r="B4" t="s">
        <v>297</v>
      </c>
      <c r="C4" t="s">
        <v>36</v>
      </c>
      <c r="D4" t="s">
        <v>304</v>
      </c>
      <c r="E4" t="s">
        <v>852</v>
      </c>
    </row>
    <row r="5" spans="1:5" x14ac:dyDescent="0.25">
      <c r="A5" t="s">
        <v>464</v>
      </c>
      <c r="B5" t="s">
        <v>458</v>
      </c>
      <c r="C5" t="s">
        <v>36</v>
      </c>
      <c r="D5" t="s">
        <v>304</v>
      </c>
      <c r="E5" t="s">
        <v>852</v>
      </c>
    </row>
    <row r="6" spans="1:5" x14ac:dyDescent="0.25">
      <c r="A6" t="s">
        <v>465</v>
      </c>
      <c r="B6" t="s">
        <v>459</v>
      </c>
      <c r="C6" t="s">
        <v>319</v>
      </c>
      <c r="D6" t="s">
        <v>304</v>
      </c>
      <c r="E6" t="s">
        <v>852</v>
      </c>
    </row>
    <row r="7" spans="1:5" x14ac:dyDescent="0.25">
      <c r="A7" t="s">
        <v>759</v>
      </c>
      <c r="B7" t="s">
        <v>758</v>
      </c>
      <c r="C7" t="s">
        <v>36</v>
      </c>
      <c r="D7" t="s">
        <v>304</v>
      </c>
      <c r="E7" t="s">
        <v>852</v>
      </c>
    </row>
    <row r="8" spans="1:5" x14ac:dyDescent="0.25">
      <c r="A8" t="s">
        <v>845</v>
      </c>
      <c r="B8" t="s">
        <v>842</v>
      </c>
      <c r="C8" t="s">
        <v>36</v>
      </c>
      <c r="D8" t="s">
        <v>304</v>
      </c>
      <c r="E8" t="s">
        <v>852</v>
      </c>
    </row>
    <row r="9" spans="1:5" x14ac:dyDescent="0.25">
      <c r="A9" t="s">
        <v>846</v>
      </c>
      <c r="B9" t="s">
        <v>842</v>
      </c>
      <c r="C9" t="s">
        <v>319</v>
      </c>
      <c r="D9" t="s">
        <v>304</v>
      </c>
      <c r="E9" t="s">
        <v>852</v>
      </c>
    </row>
    <row r="35" spans="5:5" x14ac:dyDescent="0.25">
      <c r="E35" t="s">
        <v>852</v>
      </c>
    </row>
    <row r="36" spans="5:5" x14ac:dyDescent="0.25">
      <c r="E36" s="1" t="s">
        <v>851</v>
      </c>
    </row>
    <row r="37" spans="5:5" x14ac:dyDescent="0.25">
      <c r="E37" t="s">
        <v>306</v>
      </c>
    </row>
  </sheetData>
  <pageMargins left="0.7" right="0.7" top="0.78740157499999996" bottom="0.78740157499999996" header="0.3" footer="0.3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8"/>
  <dimension ref="A1:C9"/>
  <sheetViews>
    <sheetView workbookViewId="0">
      <selection activeCell="A10" sqref="A10"/>
    </sheetView>
  </sheetViews>
  <sheetFormatPr defaultColWidth="11.42578125" defaultRowHeight="15" x14ac:dyDescent="0.25"/>
  <cols>
    <col min="1" max="1" width="37.140625" bestFit="1" customWidth="1"/>
    <col min="2" max="2" width="40.85546875" customWidth="1"/>
    <col min="3" max="3" width="14.42578125" customWidth="1"/>
  </cols>
  <sheetData>
    <row r="1" spans="1:3" x14ac:dyDescent="0.25">
      <c r="A1" t="s">
        <v>477</v>
      </c>
    </row>
    <row r="2" spans="1:3" x14ac:dyDescent="0.25">
      <c r="B2" t="s">
        <v>101</v>
      </c>
    </row>
    <row r="3" spans="1:3" x14ac:dyDescent="0.25">
      <c r="A3" t="s">
        <v>0</v>
      </c>
      <c r="B3" t="s">
        <v>302</v>
      </c>
      <c r="C3" t="s">
        <v>480</v>
      </c>
    </row>
    <row r="4" spans="1:3" x14ac:dyDescent="0.25">
      <c r="A4" t="s">
        <v>479</v>
      </c>
      <c r="B4" t="s">
        <v>308</v>
      </c>
    </row>
    <row r="5" spans="1:3" x14ac:dyDescent="0.25">
      <c r="A5" t="s">
        <v>481</v>
      </c>
      <c r="B5" t="s">
        <v>464</v>
      </c>
      <c r="C5">
        <v>30</v>
      </c>
    </row>
    <row r="6" spans="1:3" x14ac:dyDescent="0.25">
      <c r="A6" t="s">
        <v>482</v>
      </c>
      <c r="B6" t="s">
        <v>465</v>
      </c>
    </row>
    <row r="7" spans="1:3" x14ac:dyDescent="0.25">
      <c r="A7" t="s">
        <v>760</v>
      </c>
      <c r="B7" t="s">
        <v>759</v>
      </c>
    </row>
    <row r="8" spans="1:3" x14ac:dyDescent="0.25">
      <c r="A8" t="s">
        <v>847</v>
      </c>
      <c r="B8" t="s">
        <v>845</v>
      </c>
    </row>
    <row r="9" spans="1:3" x14ac:dyDescent="0.25">
      <c r="A9" t="s">
        <v>848</v>
      </c>
      <c r="B9" t="s">
        <v>846</v>
      </c>
    </row>
  </sheetData>
  <pageMargins left="0.7" right="0.7" top="0.78740157499999996" bottom="0.78740157499999996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B9"/>
  <sheetViews>
    <sheetView workbookViewId="0">
      <selection activeCell="A10" sqref="A10"/>
    </sheetView>
  </sheetViews>
  <sheetFormatPr defaultColWidth="11.42578125" defaultRowHeight="15" x14ac:dyDescent="0.25"/>
  <cols>
    <col min="1" max="1" width="37.42578125" bestFit="1" customWidth="1"/>
    <col min="2" max="2" width="16" customWidth="1"/>
    <col min="3" max="3" width="37.42578125" bestFit="1" customWidth="1"/>
    <col min="4" max="4" width="17.85546875" bestFit="1" customWidth="1"/>
    <col min="5" max="5" width="37.140625" bestFit="1" customWidth="1"/>
  </cols>
  <sheetData>
    <row r="1" spans="1:2" x14ac:dyDescent="0.25">
      <c r="A1" t="s">
        <v>304</v>
      </c>
    </row>
    <row r="3" spans="1:2" x14ac:dyDescent="0.25">
      <c r="A3" t="s">
        <v>0</v>
      </c>
      <c r="B3" t="s">
        <v>476</v>
      </c>
    </row>
    <row r="4" spans="1:2" x14ac:dyDescent="0.25">
      <c r="A4" t="s">
        <v>308</v>
      </c>
      <c r="B4">
        <v>0</v>
      </c>
    </row>
    <row r="5" spans="1:2" x14ac:dyDescent="0.25">
      <c r="A5" t="s">
        <v>464</v>
      </c>
      <c r="B5">
        <v>3</v>
      </c>
    </row>
    <row r="6" spans="1:2" x14ac:dyDescent="0.25">
      <c r="A6" t="s">
        <v>465</v>
      </c>
      <c r="B6">
        <v>0</v>
      </c>
    </row>
    <row r="7" spans="1:2" x14ac:dyDescent="0.25">
      <c r="A7" t="s">
        <v>759</v>
      </c>
      <c r="B7">
        <v>0</v>
      </c>
    </row>
    <row r="8" spans="1:2" x14ac:dyDescent="0.25">
      <c r="A8" t="s">
        <v>845</v>
      </c>
      <c r="B8">
        <v>0</v>
      </c>
    </row>
    <row r="9" spans="1:2" x14ac:dyDescent="0.25">
      <c r="A9" t="s">
        <v>846</v>
      </c>
      <c r="B9">
        <v>0</v>
      </c>
    </row>
  </sheetData>
  <pageMargins left="0.7" right="0.7" top="0.78740157499999996" bottom="0.78740157499999996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1"/>
  <dimension ref="A1:E18"/>
  <sheetViews>
    <sheetView workbookViewId="0">
      <selection activeCell="A19" sqref="A19"/>
    </sheetView>
  </sheetViews>
  <sheetFormatPr defaultColWidth="11.42578125" defaultRowHeight="15" x14ac:dyDescent="0.25"/>
  <cols>
    <col min="1" max="1" width="37.42578125" bestFit="1" customWidth="1"/>
    <col min="2" max="2" width="37.140625" bestFit="1" customWidth="1"/>
    <col min="3" max="3" width="37.42578125" bestFit="1" customWidth="1"/>
    <col min="5" max="5" width="37.140625" bestFit="1" customWidth="1"/>
  </cols>
  <sheetData>
    <row r="1" spans="1:5" x14ac:dyDescent="0.25">
      <c r="A1" t="s">
        <v>309</v>
      </c>
    </row>
    <row r="2" spans="1:5" x14ac:dyDescent="0.25">
      <c r="B2" t="s">
        <v>101</v>
      </c>
      <c r="C2" t="s">
        <v>101</v>
      </c>
      <c r="E2" t="s">
        <v>101</v>
      </c>
    </row>
    <row r="3" spans="1:5" x14ac:dyDescent="0.25">
      <c r="A3" t="s">
        <v>0</v>
      </c>
      <c r="B3" t="s">
        <v>304</v>
      </c>
      <c r="C3" t="s">
        <v>91</v>
      </c>
      <c r="D3" t="s">
        <v>143</v>
      </c>
      <c r="E3" t="s">
        <v>67</v>
      </c>
    </row>
    <row r="4" spans="1:5" x14ac:dyDescent="0.25">
      <c r="A4" t="s">
        <v>311</v>
      </c>
      <c r="B4" t="s">
        <v>308</v>
      </c>
      <c r="C4" t="s">
        <v>271</v>
      </c>
      <c r="D4">
        <v>123.54</v>
      </c>
      <c r="E4" t="s">
        <v>312</v>
      </c>
    </row>
    <row r="5" spans="1:5" x14ac:dyDescent="0.25">
      <c r="A5" t="s">
        <v>466</v>
      </c>
      <c r="B5" t="s">
        <v>464</v>
      </c>
      <c r="C5" t="s">
        <v>271</v>
      </c>
      <c r="D5">
        <v>600</v>
      </c>
      <c r="E5" t="s">
        <v>312</v>
      </c>
    </row>
    <row r="6" spans="1:5" x14ac:dyDescent="0.25">
      <c r="A6" t="s">
        <v>467</v>
      </c>
      <c r="B6" t="s">
        <v>464</v>
      </c>
      <c r="C6" t="s">
        <v>272</v>
      </c>
      <c r="D6">
        <v>300</v>
      </c>
      <c r="E6" t="s">
        <v>312</v>
      </c>
    </row>
    <row r="7" spans="1:5" x14ac:dyDescent="0.25">
      <c r="A7" t="s">
        <v>468</v>
      </c>
      <c r="B7" t="s">
        <v>464</v>
      </c>
      <c r="C7" t="s">
        <v>283</v>
      </c>
      <c r="D7">
        <v>100</v>
      </c>
      <c r="E7" t="s">
        <v>312</v>
      </c>
    </row>
    <row r="8" spans="1:5" x14ac:dyDescent="0.25">
      <c r="A8" t="s">
        <v>469</v>
      </c>
      <c r="B8" t="s">
        <v>464</v>
      </c>
      <c r="C8" t="s">
        <v>284</v>
      </c>
      <c r="D8">
        <v>0</v>
      </c>
      <c r="E8" t="s">
        <v>312</v>
      </c>
    </row>
    <row r="9" spans="1:5" x14ac:dyDescent="0.25">
      <c r="A9" t="s">
        <v>470</v>
      </c>
      <c r="B9" t="s">
        <v>464</v>
      </c>
      <c r="C9" t="s">
        <v>279</v>
      </c>
      <c r="D9">
        <v>0</v>
      </c>
      <c r="E9" t="s">
        <v>312</v>
      </c>
    </row>
    <row r="10" spans="1:5" x14ac:dyDescent="0.25">
      <c r="A10" t="s">
        <v>471</v>
      </c>
      <c r="B10" t="s">
        <v>465</v>
      </c>
      <c r="C10" t="s">
        <v>273</v>
      </c>
      <c r="D10">
        <v>600</v>
      </c>
      <c r="E10" t="s">
        <v>312</v>
      </c>
    </row>
    <row r="11" spans="1:5" x14ac:dyDescent="0.25">
      <c r="A11" t="s">
        <v>472</v>
      </c>
      <c r="B11" t="s">
        <v>465</v>
      </c>
      <c r="C11" t="s">
        <v>274</v>
      </c>
      <c r="D11">
        <v>300</v>
      </c>
      <c r="E11" t="s">
        <v>312</v>
      </c>
    </row>
    <row r="12" spans="1:5" x14ac:dyDescent="0.25">
      <c r="A12" t="s">
        <v>473</v>
      </c>
      <c r="B12" t="s">
        <v>465</v>
      </c>
      <c r="C12" t="s">
        <v>283</v>
      </c>
      <c r="D12">
        <v>100</v>
      </c>
      <c r="E12" t="s">
        <v>312</v>
      </c>
    </row>
    <row r="13" spans="1:5" x14ac:dyDescent="0.25">
      <c r="A13" t="s">
        <v>474</v>
      </c>
      <c r="B13" t="s">
        <v>465</v>
      </c>
      <c r="C13" t="s">
        <v>284</v>
      </c>
      <c r="D13">
        <v>0</v>
      </c>
      <c r="E13" t="s">
        <v>312</v>
      </c>
    </row>
    <row r="14" spans="1:5" x14ac:dyDescent="0.25">
      <c r="A14" t="s">
        <v>475</v>
      </c>
      <c r="B14" t="s">
        <v>465</v>
      </c>
      <c r="C14" t="s">
        <v>279</v>
      </c>
      <c r="D14">
        <v>0</v>
      </c>
      <c r="E14" t="s">
        <v>312</v>
      </c>
    </row>
    <row r="15" spans="1:5" x14ac:dyDescent="0.25">
      <c r="A15" t="s">
        <v>761</v>
      </c>
      <c r="B15" t="s">
        <v>759</v>
      </c>
      <c r="C15" t="s">
        <v>271</v>
      </c>
      <c r="D15">
        <v>900</v>
      </c>
      <c r="E15" t="s">
        <v>312</v>
      </c>
    </row>
    <row r="16" spans="1:5" x14ac:dyDescent="0.25">
      <c r="A16" t="s">
        <v>762</v>
      </c>
      <c r="B16" t="s">
        <v>759</v>
      </c>
      <c r="C16" t="s">
        <v>750</v>
      </c>
      <c r="D16">
        <v>100</v>
      </c>
      <c r="E16" t="s">
        <v>312</v>
      </c>
    </row>
    <row r="17" spans="1:5" x14ac:dyDescent="0.25">
      <c r="A17" t="s">
        <v>849</v>
      </c>
      <c r="B17" t="s">
        <v>845</v>
      </c>
      <c r="C17" t="s">
        <v>271</v>
      </c>
      <c r="D17">
        <v>900</v>
      </c>
      <c r="E17" t="s">
        <v>312</v>
      </c>
    </row>
    <row r="18" spans="1:5" x14ac:dyDescent="0.25">
      <c r="A18" t="s">
        <v>850</v>
      </c>
      <c r="B18" t="s">
        <v>845</v>
      </c>
      <c r="C18" t="s">
        <v>750</v>
      </c>
      <c r="D18">
        <v>100</v>
      </c>
      <c r="E18" t="s">
        <v>312</v>
      </c>
    </row>
  </sheetData>
  <pageMargins left="0.7" right="0.7" top="0.78740157499999996" bottom="0.78740157499999996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6"/>
  <dimension ref="A1:N13"/>
  <sheetViews>
    <sheetView workbookViewId="0">
      <selection activeCell="A14" sqref="A14"/>
    </sheetView>
  </sheetViews>
  <sheetFormatPr defaultColWidth="11.42578125" defaultRowHeight="15" x14ac:dyDescent="0.25"/>
  <cols>
    <col min="1" max="1" width="37.140625" bestFit="1" customWidth="1"/>
    <col min="2" max="2" width="21.85546875" customWidth="1"/>
    <col min="3" max="3" width="18.85546875" bestFit="1" customWidth="1"/>
    <col min="4" max="4" width="22.42578125" customWidth="1"/>
    <col min="5" max="5" width="37.42578125" bestFit="1" customWidth="1"/>
    <col min="6" max="6" width="13.85546875" customWidth="1"/>
    <col min="7" max="7" width="16" customWidth="1"/>
    <col min="8" max="8" width="16.140625" customWidth="1"/>
    <col min="9" max="9" width="15.7109375" customWidth="1"/>
    <col min="10" max="11" width="14.5703125" customWidth="1"/>
    <col min="13" max="13" width="13.28515625" bestFit="1" customWidth="1"/>
    <col min="14" max="14" width="18" customWidth="1"/>
  </cols>
  <sheetData>
    <row r="1" spans="1:14" x14ac:dyDescent="0.25">
      <c r="A1" t="s">
        <v>126</v>
      </c>
    </row>
    <row r="2" spans="1:14" x14ac:dyDescent="0.25">
      <c r="D2" t="s">
        <v>101</v>
      </c>
      <c r="E2" t="s">
        <v>101</v>
      </c>
      <c r="F2" t="s">
        <v>101</v>
      </c>
      <c r="G2" t="s">
        <v>101</v>
      </c>
      <c r="H2" t="s">
        <v>101</v>
      </c>
      <c r="I2" t="s">
        <v>141</v>
      </c>
      <c r="J2" t="s">
        <v>141</v>
      </c>
      <c r="K2" t="s">
        <v>141</v>
      </c>
      <c r="M2" t="s">
        <v>5</v>
      </c>
      <c r="N2" t="s">
        <v>101</v>
      </c>
    </row>
    <row r="3" spans="1:14" x14ac:dyDescent="0.25">
      <c r="A3" t="s">
        <v>0</v>
      </c>
      <c r="B3" t="s">
        <v>1</v>
      </c>
      <c r="C3" t="s">
        <v>2</v>
      </c>
      <c r="D3" t="s">
        <v>129</v>
      </c>
      <c r="E3" t="s">
        <v>35</v>
      </c>
      <c r="F3" t="s">
        <v>20</v>
      </c>
      <c r="G3" t="s">
        <v>134</v>
      </c>
      <c r="H3" t="s">
        <v>130</v>
      </c>
      <c r="I3" t="s">
        <v>131</v>
      </c>
      <c r="J3" t="s">
        <v>132</v>
      </c>
      <c r="K3" t="s">
        <v>990</v>
      </c>
      <c r="L3" t="s">
        <v>146</v>
      </c>
      <c r="M3" t="s">
        <v>148</v>
      </c>
      <c r="N3" t="s">
        <v>483</v>
      </c>
    </row>
    <row r="4" spans="1:14" x14ac:dyDescent="0.25">
      <c r="A4" t="s">
        <v>128</v>
      </c>
      <c r="B4" t="s">
        <v>260</v>
      </c>
      <c r="C4" t="s">
        <v>260</v>
      </c>
      <c r="D4" t="s">
        <v>133</v>
      </c>
      <c r="E4" t="s">
        <v>36</v>
      </c>
      <c r="F4" t="s">
        <v>21</v>
      </c>
      <c r="G4" t="s">
        <v>21</v>
      </c>
      <c r="H4" t="s">
        <v>430</v>
      </c>
      <c r="I4" s="3">
        <f ca="1">NOW() - 1</f>
        <v>45473.842169791664</v>
      </c>
      <c r="J4" s="3">
        <f t="shared" ref="J4:J13" ca="1" si="0">NOW() + 10</f>
        <v>45484.842169791664</v>
      </c>
      <c r="K4" s="3" t="s">
        <v>98</v>
      </c>
      <c r="L4" t="s">
        <v>147</v>
      </c>
      <c r="M4">
        <v>0</v>
      </c>
      <c r="N4" t="s">
        <v>488</v>
      </c>
    </row>
    <row r="5" spans="1:14" x14ac:dyDescent="0.25">
      <c r="A5" t="s">
        <v>149</v>
      </c>
      <c r="B5" t="s">
        <v>261</v>
      </c>
      <c r="C5" t="s">
        <v>261</v>
      </c>
      <c r="D5" t="s">
        <v>133</v>
      </c>
      <c r="E5" t="s">
        <v>36</v>
      </c>
      <c r="F5" t="s">
        <v>21</v>
      </c>
      <c r="G5" t="s">
        <v>21</v>
      </c>
      <c r="H5" t="s">
        <v>430</v>
      </c>
      <c r="I5" s="3">
        <f t="shared" ref="I5:I13" ca="1" si="1">NOW() - 1</f>
        <v>45473.842169791664</v>
      </c>
      <c r="J5" s="3">
        <f t="shared" ca="1" si="0"/>
        <v>45484.842169791664</v>
      </c>
      <c r="K5" s="3" t="s">
        <v>98</v>
      </c>
      <c r="L5" t="s">
        <v>147</v>
      </c>
      <c r="M5">
        <v>0</v>
      </c>
      <c r="N5" t="s">
        <v>488</v>
      </c>
    </row>
    <row r="6" spans="1:14" x14ac:dyDescent="0.25">
      <c r="A6" t="s">
        <v>705</v>
      </c>
      <c r="B6" t="s">
        <v>708</v>
      </c>
      <c r="C6" t="s">
        <v>708</v>
      </c>
      <c r="D6" t="s">
        <v>133</v>
      </c>
      <c r="E6" t="s">
        <v>36</v>
      </c>
      <c r="F6" t="s">
        <v>21</v>
      </c>
      <c r="G6" t="s">
        <v>21</v>
      </c>
      <c r="H6" t="s">
        <v>430</v>
      </c>
      <c r="I6" s="3">
        <f t="shared" ca="1" si="1"/>
        <v>45473.842169791664</v>
      </c>
      <c r="J6" s="3">
        <f t="shared" ca="1" si="0"/>
        <v>45484.842169791664</v>
      </c>
      <c r="K6" s="3" t="s">
        <v>98</v>
      </c>
      <c r="L6" t="s">
        <v>147</v>
      </c>
      <c r="M6">
        <v>0</v>
      </c>
      <c r="N6" t="s">
        <v>488</v>
      </c>
    </row>
    <row r="7" spans="1:14" x14ac:dyDescent="0.25">
      <c r="A7" t="s">
        <v>706</v>
      </c>
      <c r="B7" t="s">
        <v>709</v>
      </c>
      <c r="C7" t="s">
        <v>709</v>
      </c>
      <c r="D7" t="s">
        <v>133</v>
      </c>
      <c r="E7" t="s">
        <v>36</v>
      </c>
      <c r="F7" t="s">
        <v>21</v>
      </c>
      <c r="G7" t="s">
        <v>21</v>
      </c>
      <c r="H7" t="s">
        <v>430</v>
      </c>
      <c r="I7" s="3">
        <f t="shared" ca="1" si="1"/>
        <v>45473.842169791664</v>
      </c>
      <c r="J7" s="3">
        <f t="shared" ca="1" si="0"/>
        <v>45484.842169791664</v>
      </c>
      <c r="K7" s="3" t="s">
        <v>98</v>
      </c>
      <c r="L7" t="s">
        <v>147</v>
      </c>
      <c r="M7">
        <v>0</v>
      </c>
      <c r="N7" t="s">
        <v>488</v>
      </c>
    </row>
    <row r="8" spans="1:14" x14ac:dyDescent="0.25">
      <c r="A8" t="s">
        <v>707</v>
      </c>
      <c r="B8" t="s">
        <v>710</v>
      </c>
      <c r="C8" t="s">
        <v>710</v>
      </c>
      <c r="D8" t="s">
        <v>133</v>
      </c>
      <c r="E8" t="s">
        <v>36</v>
      </c>
      <c r="F8" t="s">
        <v>21</v>
      </c>
      <c r="G8" t="s">
        <v>21</v>
      </c>
      <c r="H8" t="s">
        <v>430</v>
      </c>
      <c r="I8" s="3">
        <f t="shared" ca="1" si="1"/>
        <v>45473.842169791664</v>
      </c>
      <c r="J8" s="3">
        <f t="shared" ca="1" si="0"/>
        <v>45484.842169791664</v>
      </c>
      <c r="K8" s="3" t="s">
        <v>98</v>
      </c>
      <c r="L8" t="s">
        <v>147</v>
      </c>
      <c r="M8">
        <v>0</v>
      </c>
      <c r="N8" t="s">
        <v>488</v>
      </c>
    </row>
    <row r="9" spans="1:14" x14ac:dyDescent="0.25">
      <c r="A9" t="s">
        <v>853</v>
      </c>
      <c r="B9" t="s">
        <v>854</v>
      </c>
      <c r="C9" t="s">
        <v>854</v>
      </c>
      <c r="D9" t="s">
        <v>133</v>
      </c>
      <c r="E9" t="s">
        <v>36</v>
      </c>
      <c r="F9" t="s">
        <v>21</v>
      </c>
      <c r="G9" t="s">
        <v>21</v>
      </c>
      <c r="H9" t="s">
        <v>430</v>
      </c>
      <c r="I9" s="3">
        <f t="shared" ca="1" si="1"/>
        <v>45473.842169791664</v>
      </c>
      <c r="J9" s="3">
        <f t="shared" ca="1" si="0"/>
        <v>45484.842169791664</v>
      </c>
      <c r="K9" s="3" t="s">
        <v>98</v>
      </c>
      <c r="L9" t="s">
        <v>147</v>
      </c>
      <c r="M9">
        <v>0</v>
      </c>
      <c r="N9" t="s">
        <v>488</v>
      </c>
    </row>
    <row r="10" spans="1:14" x14ac:dyDescent="0.25">
      <c r="A10" t="s">
        <v>981</v>
      </c>
      <c r="B10" t="s">
        <v>983</v>
      </c>
      <c r="C10" t="s">
        <v>983</v>
      </c>
      <c r="D10" t="s">
        <v>133</v>
      </c>
      <c r="E10" t="s">
        <v>36</v>
      </c>
      <c r="F10" t="s">
        <v>21</v>
      </c>
      <c r="G10" t="s">
        <v>21</v>
      </c>
      <c r="H10" t="s">
        <v>430</v>
      </c>
      <c r="I10" s="3">
        <f t="shared" ca="1" si="1"/>
        <v>45473.842169791664</v>
      </c>
      <c r="J10" s="3">
        <f t="shared" ca="1" si="0"/>
        <v>45484.842169791664</v>
      </c>
      <c r="K10" s="3" t="s">
        <v>98</v>
      </c>
      <c r="L10" t="s">
        <v>147</v>
      </c>
      <c r="M10">
        <v>0</v>
      </c>
      <c r="N10" t="s">
        <v>488</v>
      </c>
    </row>
    <row r="11" spans="1:14" x14ac:dyDescent="0.25">
      <c r="A11" t="s">
        <v>982</v>
      </c>
      <c r="B11" t="s">
        <v>984</v>
      </c>
      <c r="C11" t="s">
        <v>984</v>
      </c>
      <c r="D11" t="s">
        <v>133</v>
      </c>
      <c r="E11" t="s">
        <v>36</v>
      </c>
      <c r="F11" t="s">
        <v>21</v>
      </c>
      <c r="G11" t="s">
        <v>21</v>
      </c>
      <c r="H11" t="s">
        <v>430</v>
      </c>
      <c r="I11" s="3">
        <f t="shared" ca="1" si="1"/>
        <v>45473.842169791664</v>
      </c>
      <c r="J11" s="3">
        <f t="shared" ca="1" si="0"/>
        <v>45484.842169791664</v>
      </c>
      <c r="K11" s="3" t="s">
        <v>98</v>
      </c>
      <c r="L11" t="s">
        <v>147</v>
      </c>
      <c r="M11">
        <v>0</v>
      </c>
      <c r="N11" t="s">
        <v>488</v>
      </c>
    </row>
    <row r="12" spans="1:14" x14ac:dyDescent="0.25">
      <c r="A12" t="s">
        <v>988</v>
      </c>
      <c r="B12" t="s">
        <v>989</v>
      </c>
      <c r="C12" t="s">
        <v>989</v>
      </c>
      <c r="D12" t="s">
        <v>133</v>
      </c>
      <c r="E12" t="s">
        <v>36</v>
      </c>
      <c r="F12" t="s">
        <v>21</v>
      </c>
      <c r="G12" t="s">
        <v>21</v>
      </c>
      <c r="H12" t="s">
        <v>430</v>
      </c>
      <c r="I12" s="3">
        <f t="shared" ca="1" si="1"/>
        <v>45473.842169791664</v>
      </c>
      <c r="J12" s="3">
        <f t="shared" ca="1" si="0"/>
        <v>45484.842169791664</v>
      </c>
      <c r="K12" s="3">
        <f ca="1">NOW() + 10</f>
        <v>45484.842169791664</v>
      </c>
      <c r="L12" t="s">
        <v>147</v>
      </c>
      <c r="M12">
        <v>0</v>
      </c>
      <c r="N12" t="s">
        <v>488</v>
      </c>
    </row>
    <row r="13" spans="1:14" x14ac:dyDescent="0.25">
      <c r="A13" t="s">
        <v>993</v>
      </c>
      <c r="B13" t="s">
        <v>994</v>
      </c>
      <c r="C13" t="s">
        <v>994</v>
      </c>
      <c r="D13" t="s">
        <v>133</v>
      </c>
      <c r="E13" t="s">
        <v>36</v>
      </c>
      <c r="F13" t="s">
        <v>21</v>
      </c>
      <c r="G13" t="s">
        <v>21</v>
      </c>
      <c r="H13" t="s">
        <v>430</v>
      </c>
      <c r="I13" s="3">
        <f t="shared" ca="1" si="1"/>
        <v>45473.842169791664</v>
      </c>
      <c r="J13" s="3">
        <f t="shared" ca="1" si="0"/>
        <v>45484.842169791664</v>
      </c>
      <c r="K13" s="3" t="s">
        <v>98</v>
      </c>
      <c r="L13" t="s">
        <v>147</v>
      </c>
      <c r="M13">
        <v>0</v>
      </c>
      <c r="N13" t="s">
        <v>488</v>
      </c>
    </row>
  </sheetData>
  <pageMargins left="0.7" right="0.7" top="0.78740157499999996" bottom="0.78740157499999996" header="0.3" footer="0.3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7"/>
  <dimension ref="A1:I14"/>
  <sheetViews>
    <sheetView workbookViewId="0">
      <selection activeCell="A15" sqref="A15"/>
    </sheetView>
  </sheetViews>
  <sheetFormatPr defaultColWidth="11.42578125" defaultRowHeight="15" x14ac:dyDescent="0.25"/>
  <cols>
    <col min="1" max="1" width="37.85546875" bestFit="1" customWidth="1"/>
    <col min="2" max="2" width="36.85546875" bestFit="1" customWidth="1"/>
    <col min="3" max="3" width="37.140625" bestFit="1" customWidth="1"/>
    <col min="4" max="4" width="36.85546875" bestFit="1" customWidth="1"/>
    <col min="5" max="5" width="38.42578125" customWidth="1"/>
    <col min="6" max="6" width="14.42578125" bestFit="1" customWidth="1"/>
    <col min="7" max="8" width="38.42578125" bestFit="1" customWidth="1"/>
    <col min="9" max="9" width="37.5703125" bestFit="1" customWidth="1"/>
  </cols>
  <sheetData>
    <row r="1" spans="1:9" x14ac:dyDescent="0.25">
      <c r="A1" t="s">
        <v>135</v>
      </c>
    </row>
    <row r="2" spans="1:9" x14ac:dyDescent="0.25">
      <c r="B2" t="s">
        <v>101</v>
      </c>
      <c r="C2" t="s">
        <v>101</v>
      </c>
      <c r="D2" t="s">
        <v>101</v>
      </c>
      <c r="E2" t="s">
        <v>101</v>
      </c>
      <c r="G2" t="s">
        <v>101</v>
      </c>
      <c r="I2" t="s">
        <v>101</v>
      </c>
    </row>
    <row r="3" spans="1:9" x14ac:dyDescent="0.25">
      <c r="A3" t="s">
        <v>0</v>
      </c>
      <c r="B3" t="s">
        <v>126</v>
      </c>
      <c r="C3" t="s">
        <v>58</v>
      </c>
      <c r="D3" t="s">
        <v>55</v>
      </c>
      <c r="E3" t="s">
        <v>97</v>
      </c>
      <c r="F3" t="s">
        <v>138</v>
      </c>
      <c r="G3" t="s">
        <v>67</v>
      </c>
      <c r="H3" t="s">
        <v>139</v>
      </c>
      <c r="I3" t="s">
        <v>35</v>
      </c>
    </row>
    <row r="4" spans="1:9" x14ac:dyDescent="0.25">
      <c r="A4" t="s">
        <v>137</v>
      </c>
      <c r="B4" t="s">
        <v>128</v>
      </c>
      <c r="C4" t="s">
        <v>111</v>
      </c>
      <c r="D4" t="s">
        <v>57</v>
      </c>
      <c r="E4" t="s">
        <v>98</v>
      </c>
      <c r="F4">
        <v>1</v>
      </c>
      <c r="G4" t="s">
        <v>100</v>
      </c>
      <c r="H4" t="s">
        <v>140</v>
      </c>
      <c r="I4" t="s">
        <v>98</v>
      </c>
    </row>
    <row r="5" spans="1:9" x14ac:dyDescent="0.25">
      <c r="A5" t="s">
        <v>150</v>
      </c>
      <c r="B5" t="s">
        <v>149</v>
      </c>
      <c r="C5" t="s">
        <v>111</v>
      </c>
      <c r="D5" t="s">
        <v>57</v>
      </c>
      <c r="E5" t="s">
        <v>98</v>
      </c>
      <c r="F5">
        <v>1</v>
      </c>
      <c r="G5" t="s">
        <v>100</v>
      </c>
      <c r="H5" t="s">
        <v>140</v>
      </c>
      <c r="I5" t="s">
        <v>98</v>
      </c>
    </row>
    <row r="6" spans="1:9" x14ac:dyDescent="0.25">
      <c r="A6" t="s">
        <v>151</v>
      </c>
      <c r="B6" t="s">
        <v>149</v>
      </c>
      <c r="C6" t="s">
        <v>112</v>
      </c>
      <c r="D6" t="s">
        <v>120</v>
      </c>
      <c r="E6" t="s">
        <v>98</v>
      </c>
      <c r="F6">
        <v>0</v>
      </c>
      <c r="G6" t="s">
        <v>100</v>
      </c>
      <c r="H6" t="s">
        <v>140</v>
      </c>
      <c r="I6" t="s">
        <v>98</v>
      </c>
    </row>
    <row r="7" spans="1:9" x14ac:dyDescent="0.25">
      <c r="A7" t="s">
        <v>711</v>
      </c>
      <c r="B7" t="s">
        <v>705</v>
      </c>
      <c r="C7" t="s">
        <v>111</v>
      </c>
      <c r="D7" t="s">
        <v>57</v>
      </c>
      <c r="E7" t="s">
        <v>98</v>
      </c>
      <c r="F7">
        <v>1</v>
      </c>
      <c r="G7" t="s">
        <v>100</v>
      </c>
      <c r="H7" t="s">
        <v>140</v>
      </c>
      <c r="I7" t="s">
        <v>98</v>
      </c>
    </row>
    <row r="8" spans="1:9" x14ac:dyDescent="0.25">
      <c r="A8" t="s">
        <v>712</v>
      </c>
      <c r="B8" t="s">
        <v>706</v>
      </c>
      <c r="C8" t="s">
        <v>111</v>
      </c>
      <c r="D8" t="s">
        <v>57</v>
      </c>
      <c r="E8" t="s">
        <v>98</v>
      </c>
      <c r="F8">
        <v>1</v>
      </c>
      <c r="G8" t="s">
        <v>100</v>
      </c>
      <c r="H8" t="s">
        <v>140</v>
      </c>
      <c r="I8" t="s">
        <v>98</v>
      </c>
    </row>
    <row r="9" spans="1:9" x14ac:dyDescent="0.25">
      <c r="A9" t="s">
        <v>713</v>
      </c>
      <c r="B9" t="s">
        <v>707</v>
      </c>
      <c r="C9" t="s">
        <v>111</v>
      </c>
      <c r="D9" t="s">
        <v>57</v>
      </c>
      <c r="E9" t="s">
        <v>98</v>
      </c>
      <c r="F9">
        <v>1</v>
      </c>
      <c r="G9" t="s">
        <v>100</v>
      </c>
      <c r="H9" t="s">
        <v>140</v>
      </c>
      <c r="I9" t="s">
        <v>98</v>
      </c>
    </row>
    <row r="10" spans="1:9" x14ac:dyDescent="0.25">
      <c r="A10" t="s">
        <v>855</v>
      </c>
      <c r="B10" t="s">
        <v>853</v>
      </c>
      <c r="C10" t="s">
        <v>111</v>
      </c>
      <c r="D10" t="s">
        <v>57</v>
      </c>
      <c r="E10" t="s">
        <v>841</v>
      </c>
      <c r="F10">
        <v>1</v>
      </c>
      <c r="G10" t="s">
        <v>100</v>
      </c>
      <c r="H10" t="s">
        <v>140</v>
      </c>
      <c r="I10" t="s">
        <v>36</v>
      </c>
    </row>
    <row r="11" spans="1:9" x14ac:dyDescent="0.25">
      <c r="A11" t="s">
        <v>986</v>
      </c>
      <c r="B11" t="s">
        <v>981</v>
      </c>
      <c r="C11" t="s">
        <v>111</v>
      </c>
      <c r="D11" t="s">
        <v>57</v>
      </c>
      <c r="E11" t="s">
        <v>841</v>
      </c>
      <c r="F11">
        <v>1</v>
      </c>
      <c r="G11" t="s">
        <v>100</v>
      </c>
      <c r="H11" t="s">
        <v>140</v>
      </c>
      <c r="I11" t="s">
        <v>36</v>
      </c>
    </row>
    <row r="12" spans="1:9" x14ac:dyDescent="0.25">
      <c r="A12" t="s">
        <v>987</v>
      </c>
      <c r="B12" t="s">
        <v>982</v>
      </c>
      <c r="C12" t="s">
        <v>111</v>
      </c>
      <c r="D12" t="s">
        <v>57</v>
      </c>
      <c r="E12" t="s">
        <v>841</v>
      </c>
      <c r="F12">
        <v>1</v>
      </c>
      <c r="G12" t="s">
        <v>100</v>
      </c>
      <c r="H12" t="s">
        <v>140</v>
      </c>
      <c r="I12" t="s">
        <v>36</v>
      </c>
    </row>
    <row r="13" spans="1:9" x14ac:dyDescent="0.25">
      <c r="A13" t="s">
        <v>991</v>
      </c>
      <c r="B13" t="s">
        <v>988</v>
      </c>
      <c r="C13" t="s">
        <v>111</v>
      </c>
      <c r="D13" t="s">
        <v>57</v>
      </c>
      <c r="E13" t="s">
        <v>841</v>
      </c>
      <c r="F13">
        <v>1</v>
      </c>
      <c r="G13" t="s">
        <v>100</v>
      </c>
      <c r="H13" t="s">
        <v>140</v>
      </c>
      <c r="I13" t="s">
        <v>36</v>
      </c>
    </row>
    <row r="14" spans="1:9" x14ac:dyDescent="0.25">
      <c r="A14" t="s">
        <v>995</v>
      </c>
      <c r="B14" t="s">
        <v>993</v>
      </c>
      <c r="C14" t="s">
        <v>111</v>
      </c>
      <c r="D14" t="s">
        <v>57</v>
      </c>
      <c r="E14" t="s">
        <v>841</v>
      </c>
      <c r="F14">
        <v>1</v>
      </c>
      <c r="G14" t="s">
        <v>100</v>
      </c>
      <c r="H14" t="s">
        <v>140</v>
      </c>
      <c r="I14" t="s">
        <v>36</v>
      </c>
    </row>
  </sheetData>
  <pageMargins left="0.7" right="0.7" top="0.78740157499999996" bottom="0.78740157499999996" header="0.3" footer="0.3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1:G14"/>
  <sheetViews>
    <sheetView workbookViewId="0">
      <selection activeCell="A15" sqref="A15"/>
    </sheetView>
  </sheetViews>
  <sheetFormatPr defaultColWidth="11.42578125" defaultRowHeight="15" x14ac:dyDescent="0.25"/>
  <cols>
    <col min="1" max="1" width="37.5703125" bestFit="1" customWidth="1"/>
    <col min="2" max="2" width="36.85546875" bestFit="1" customWidth="1"/>
    <col min="3" max="3" width="37.140625" bestFit="1" customWidth="1"/>
    <col min="5" max="5" width="16.85546875" customWidth="1"/>
    <col min="6" max="6" width="27" customWidth="1"/>
    <col min="7" max="7" width="38.5703125" bestFit="1" customWidth="1"/>
  </cols>
  <sheetData>
    <row r="1" spans="1:7" x14ac:dyDescent="0.25">
      <c r="A1" t="s">
        <v>142</v>
      </c>
    </row>
    <row r="2" spans="1:7" x14ac:dyDescent="0.25">
      <c r="B2" t="s">
        <v>101</v>
      </c>
      <c r="C2" t="s">
        <v>101</v>
      </c>
      <c r="D2" t="s">
        <v>60</v>
      </c>
      <c r="E2" t="s">
        <v>60</v>
      </c>
      <c r="F2" t="s">
        <v>5</v>
      </c>
      <c r="G2" t="s">
        <v>101</v>
      </c>
    </row>
    <row r="3" spans="1:7" x14ac:dyDescent="0.25">
      <c r="A3" t="s">
        <v>0</v>
      </c>
      <c r="B3" t="s">
        <v>135</v>
      </c>
      <c r="C3" t="s">
        <v>48</v>
      </c>
      <c r="D3" t="s">
        <v>143</v>
      </c>
      <c r="E3" t="s">
        <v>980</v>
      </c>
      <c r="F3" t="s">
        <v>985</v>
      </c>
      <c r="G3" t="s">
        <v>144</v>
      </c>
    </row>
    <row r="4" spans="1:7" x14ac:dyDescent="0.25">
      <c r="A4" t="s">
        <v>137</v>
      </c>
      <c r="B4" t="s">
        <v>137</v>
      </c>
      <c r="C4" t="s">
        <v>49</v>
      </c>
      <c r="D4">
        <v>6.5</v>
      </c>
      <c r="E4">
        <v>0</v>
      </c>
      <c r="F4">
        <v>0</v>
      </c>
      <c r="G4" t="s">
        <v>145</v>
      </c>
    </row>
    <row r="5" spans="1:7" x14ac:dyDescent="0.25">
      <c r="A5" t="s">
        <v>150</v>
      </c>
      <c r="B5" t="s">
        <v>150</v>
      </c>
      <c r="C5" t="s">
        <v>49</v>
      </c>
      <c r="D5">
        <v>2.02</v>
      </c>
      <c r="E5">
        <v>0</v>
      </c>
      <c r="F5">
        <v>0</v>
      </c>
      <c r="G5" t="s">
        <v>145</v>
      </c>
    </row>
    <row r="6" spans="1:7" x14ac:dyDescent="0.25">
      <c r="A6" t="s">
        <v>151</v>
      </c>
      <c r="B6" t="s">
        <v>151</v>
      </c>
      <c r="C6" t="s">
        <v>49</v>
      </c>
      <c r="D6">
        <v>19.899999999999999</v>
      </c>
      <c r="E6">
        <v>0</v>
      </c>
      <c r="F6">
        <v>0</v>
      </c>
      <c r="G6" t="s">
        <v>145</v>
      </c>
    </row>
    <row r="7" spans="1:7" x14ac:dyDescent="0.25">
      <c r="A7" t="s">
        <v>711</v>
      </c>
      <c r="B7" t="s">
        <v>711</v>
      </c>
      <c r="C7" t="s">
        <v>49</v>
      </c>
      <c r="D7">
        <v>12</v>
      </c>
      <c r="E7">
        <v>9</v>
      </c>
      <c r="F7">
        <v>0</v>
      </c>
      <c r="G7" t="s">
        <v>145</v>
      </c>
    </row>
    <row r="8" spans="1:7" x14ac:dyDescent="0.25">
      <c r="A8" t="s">
        <v>712</v>
      </c>
      <c r="B8" t="s">
        <v>712</v>
      </c>
      <c r="C8" t="s">
        <v>49</v>
      </c>
      <c r="D8">
        <v>12</v>
      </c>
      <c r="E8">
        <v>12</v>
      </c>
      <c r="F8">
        <v>0</v>
      </c>
      <c r="G8" t="s">
        <v>145</v>
      </c>
    </row>
    <row r="9" spans="1:7" x14ac:dyDescent="0.25">
      <c r="A9" t="s">
        <v>713</v>
      </c>
      <c r="B9" t="s">
        <v>713</v>
      </c>
      <c r="C9" t="s">
        <v>49</v>
      </c>
      <c r="D9">
        <v>12</v>
      </c>
      <c r="E9">
        <v>16</v>
      </c>
      <c r="F9">
        <v>0</v>
      </c>
      <c r="G9" t="s">
        <v>145</v>
      </c>
    </row>
    <row r="10" spans="1:7" x14ac:dyDescent="0.25">
      <c r="A10" t="s">
        <v>855</v>
      </c>
      <c r="B10" t="s">
        <v>855</v>
      </c>
      <c r="C10" t="s">
        <v>49</v>
      </c>
      <c r="D10">
        <v>12</v>
      </c>
      <c r="E10">
        <v>0</v>
      </c>
      <c r="F10">
        <v>0</v>
      </c>
      <c r="G10" t="s">
        <v>145</v>
      </c>
    </row>
    <row r="11" spans="1:7" x14ac:dyDescent="0.25">
      <c r="A11" t="s">
        <v>986</v>
      </c>
      <c r="B11" t="s">
        <v>986</v>
      </c>
      <c r="C11" t="s">
        <v>49</v>
      </c>
      <c r="D11">
        <v>16</v>
      </c>
      <c r="E11">
        <v>9</v>
      </c>
      <c r="F11">
        <v>1</v>
      </c>
      <c r="G11" t="s">
        <v>145</v>
      </c>
    </row>
    <row r="12" spans="1:7" x14ac:dyDescent="0.25">
      <c r="A12" t="s">
        <v>987</v>
      </c>
      <c r="B12" t="s">
        <v>987</v>
      </c>
      <c r="C12" t="s">
        <v>49</v>
      </c>
      <c r="D12">
        <v>16</v>
      </c>
      <c r="E12">
        <v>21</v>
      </c>
      <c r="F12">
        <v>1</v>
      </c>
      <c r="G12" t="s">
        <v>145</v>
      </c>
    </row>
    <row r="13" spans="1:7" x14ac:dyDescent="0.25">
      <c r="A13" t="s">
        <v>991</v>
      </c>
      <c r="B13" t="s">
        <v>991</v>
      </c>
      <c r="C13" t="s">
        <v>49</v>
      </c>
      <c r="D13">
        <v>17</v>
      </c>
      <c r="E13">
        <v>15</v>
      </c>
      <c r="F13">
        <v>0</v>
      </c>
      <c r="G13" t="s">
        <v>145</v>
      </c>
    </row>
    <row r="14" spans="1:7" x14ac:dyDescent="0.25">
      <c r="A14" t="s">
        <v>995</v>
      </c>
      <c r="B14" t="s">
        <v>995</v>
      </c>
      <c r="C14" t="s">
        <v>49</v>
      </c>
      <c r="D14">
        <v>0</v>
      </c>
      <c r="E14">
        <v>5</v>
      </c>
      <c r="F14">
        <v>0</v>
      </c>
      <c r="G14" t="s">
        <v>145</v>
      </c>
    </row>
  </sheetData>
  <pageMargins left="0.7" right="0.7" top="0.78740157499999996" bottom="0.78740157499999996" header="0.3" footer="0.3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1"/>
  <dimension ref="A1:J4"/>
  <sheetViews>
    <sheetView workbookViewId="0">
      <selection activeCell="A5" sqref="A5"/>
    </sheetView>
  </sheetViews>
  <sheetFormatPr defaultColWidth="11.42578125" defaultRowHeight="15" x14ac:dyDescent="0.25"/>
  <cols>
    <col min="1" max="1" width="37.5703125" bestFit="1" customWidth="1"/>
    <col min="2" max="2" width="36.85546875" bestFit="1" customWidth="1"/>
    <col min="3" max="3" width="37.140625" bestFit="1" customWidth="1"/>
    <col min="4" max="4" width="13.85546875" bestFit="1" customWidth="1"/>
    <col min="5" max="5" width="39.140625" bestFit="1" customWidth="1"/>
    <col min="6" max="6" width="37.140625" bestFit="1" customWidth="1"/>
    <col min="7" max="7" width="18.7109375" bestFit="1" customWidth="1"/>
    <col min="8" max="8" width="17.140625" bestFit="1" customWidth="1"/>
  </cols>
  <sheetData>
    <row r="1" spans="1:10" x14ac:dyDescent="0.25">
      <c r="A1" t="s">
        <v>152</v>
      </c>
    </row>
    <row r="2" spans="1:10" x14ac:dyDescent="0.25">
      <c r="B2" t="s">
        <v>101</v>
      </c>
      <c r="C2" t="s">
        <v>101</v>
      </c>
      <c r="D2" t="s">
        <v>101</v>
      </c>
      <c r="E2" t="s">
        <v>101</v>
      </c>
      <c r="F2" t="s">
        <v>101</v>
      </c>
      <c r="G2" t="s">
        <v>141</v>
      </c>
      <c r="H2" t="s">
        <v>141</v>
      </c>
    </row>
    <row r="3" spans="1:10" x14ac:dyDescent="0.25">
      <c r="A3" t="s">
        <v>0</v>
      </c>
      <c r="B3" t="s">
        <v>126</v>
      </c>
      <c r="C3" t="s">
        <v>155</v>
      </c>
      <c r="D3" t="s">
        <v>162</v>
      </c>
      <c r="E3" t="s">
        <v>163</v>
      </c>
      <c r="F3" t="s">
        <v>156</v>
      </c>
      <c r="G3" t="s">
        <v>158</v>
      </c>
      <c r="H3" t="s">
        <v>157</v>
      </c>
      <c r="I3" t="s">
        <v>159</v>
      </c>
      <c r="J3" t="s">
        <v>146</v>
      </c>
    </row>
    <row r="4" spans="1:10" x14ac:dyDescent="0.25">
      <c r="A4" t="s">
        <v>154</v>
      </c>
      <c r="B4" t="s">
        <v>128</v>
      </c>
      <c r="C4" t="s">
        <v>11</v>
      </c>
      <c r="D4" t="s">
        <v>98</v>
      </c>
      <c r="E4" t="s">
        <v>161</v>
      </c>
      <c r="F4" t="s">
        <v>6</v>
      </c>
      <c r="G4" s="3">
        <v>40339</v>
      </c>
      <c r="H4" s="3">
        <v>40704</v>
      </c>
      <c r="I4">
        <v>3</v>
      </c>
      <c r="J4" t="s">
        <v>160</v>
      </c>
    </row>
  </sheetData>
  <pageMargins left="0.7" right="0.7" top="0.78740157499999996" bottom="0.78740157499999996" header="0.3" footer="0.3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9"/>
  <dimension ref="A1:G30"/>
  <sheetViews>
    <sheetView workbookViewId="0">
      <selection activeCell="A5" sqref="A5"/>
    </sheetView>
  </sheetViews>
  <sheetFormatPr defaultColWidth="11.42578125" defaultRowHeight="15" x14ac:dyDescent="0.25"/>
  <cols>
    <col min="1" max="1" width="37.42578125" bestFit="1" customWidth="1"/>
    <col min="2" max="2" width="16" customWidth="1"/>
    <col min="3" max="3" width="37.7109375" bestFit="1" customWidth="1"/>
    <col min="4" max="4" width="43.28515625" customWidth="1"/>
    <col min="5" max="5" width="39.140625" bestFit="1" customWidth="1"/>
    <col min="6" max="6" width="13.5703125" bestFit="1" customWidth="1"/>
    <col min="7" max="7" width="45" bestFit="1" customWidth="1"/>
  </cols>
  <sheetData>
    <row r="1" spans="1:5" x14ac:dyDescent="0.25">
      <c r="A1" t="s">
        <v>858</v>
      </c>
    </row>
    <row r="2" spans="1:5" x14ac:dyDescent="0.25">
      <c r="C2" t="s">
        <v>101</v>
      </c>
      <c r="D2" t="s">
        <v>101</v>
      </c>
      <c r="E2" t="s">
        <v>101</v>
      </c>
    </row>
    <row r="3" spans="1:5" x14ac:dyDescent="0.25">
      <c r="A3" t="s">
        <v>0</v>
      </c>
      <c r="B3" t="s">
        <v>476</v>
      </c>
      <c r="C3" t="s">
        <v>135</v>
      </c>
      <c r="D3" t="s">
        <v>35</v>
      </c>
      <c r="E3" t="s">
        <v>860</v>
      </c>
    </row>
    <row r="4" spans="1:5" x14ac:dyDescent="0.25">
      <c r="A4" t="s">
        <v>859</v>
      </c>
      <c r="B4">
        <v>0</v>
      </c>
      <c r="C4" t="s">
        <v>855</v>
      </c>
      <c r="D4" t="s">
        <v>36</v>
      </c>
      <c r="E4" s="1" t="s">
        <v>861</v>
      </c>
    </row>
    <row r="22" spans="5:7" x14ac:dyDescent="0.25">
      <c r="E22" s="1" t="s">
        <v>861</v>
      </c>
      <c r="F22" t="s">
        <v>870</v>
      </c>
      <c r="G22" t="s">
        <v>879</v>
      </c>
    </row>
    <row r="23" spans="5:7" x14ac:dyDescent="0.25">
      <c r="E23" t="s">
        <v>862</v>
      </c>
      <c r="F23" t="s">
        <v>871</v>
      </c>
      <c r="G23" t="s">
        <v>880</v>
      </c>
    </row>
    <row r="24" spans="5:7" x14ac:dyDescent="0.25">
      <c r="E24" t="s">
        <v>863</v>
      </c>
      <c r="F24" t="s">
        <v>872</v>
      </c>
      <c r="G24" t="s">
        <v>879</v>
      </c>
    </row>
    <row r="25" spans="5:7" x14ac:dyDescent="0.25">
      <c r="E25" t="s">
        <v>864</v>
      </c>
      <c r="F25" t="s">
        <v>873</v>
      </c>
      <c r="G25" t="s">
        <v>881</v>
      </c>
    </row>
    <row r="26" spans="5:7" x14ac:dyDescent="0.25">
      <c r="E26" t="s">
        <v>865</v>
      </c>
      <c r="F26" t="s">
        <v>874</v>
      </c>
      <c r="G26" t="s">
        <v>880</v>
      </c>
    </row>
    <row r="27" spans="5:7" x14ac:dyDescent="0.25">
      <c r="E27" t="s">
        <v>866</v>
      </c>
      <c r="F27" t="s">
        <v>875</v>
      </c>
      <c r="G27" t="s">
        <v>879</v>
      </c>
    </row>
    <row r="28" spans="5:7" x14ac:dyDescent="0.25">
      <c r="E28" t="s">
        <v>867</v>
      </c>
      <c r="F28" t="s">
        <v>876</v>
      </c>
      <c r="G28" t="s">
        <v>880</v>
      </c>
    </row>
    <row r="29" spans="5:7" x14ac:dyDescent="0.25">
      <c r="E29" t="s">
        <v>868</v>
      </c>
      <c r="F29" t="s">
        <v>877</v>
      </c>
      <c r="G29" t="s">
        <v>882</v>
      </c>
    </row>
    <row r="30" spans="5:7" x14ac:dyDescent="0.25">
      <c r="E30" t="s">
        <v>869</v>
      </c>
      <c r="F30" t="s">
        <v>878</v>
      </c>
      <c r="G30" t="s">
        <v>883</v>
      </c>
    </row>
  </sheetData>
  <pageMargins left="0.7" right="0.7" top="0.78740157499999996" bottom="0.78740157499999996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M4"/>
  <sheetViews>
    <sheetView workbookViewId="0">
      <selection activeCell="A5" sqref="A5"/>
    </sheetView>
  </sheetViews>
  <sheetFormatPr defaultColWidth="11.42578125" defaultRowHeight="15" x14ac:dyDescent="0.25"/>
  <cols>
    <col min="1" max="1" width="48" customWidth="1"/>
    <col min="4" max="4" width="38.5703125" bestFit="1" customWidth="1"/>
    <col min="5" max="5" width="16.5703125" customWidth="1"/>
    <col min="6" max="6" width="13.85546875" bestFit="1" customWidth="1"/>
    <col min="7" max="7" width="37.5703125" bestFit="1" customWidth="1"/>
    <col min="8" max="8" width="18.42578125" bestFit="1" customWidth="1"/>
    <col min="9" max="9" width="15.7109375" bestFit="1" customWidth="1"/>
    <col min="10" max="10" width="39" bestFit="1" customWidth="1"/>
    <col min="11" max="11" width="18.5703125" bestFit="1" customWidth="1"/>
    <col min="12" max="12" width="15.7109375" bestFit="1" customWidth="1"/>
    <col min="13" max="13" width="38.5703125" bestFit="1" customWidth="1"/>
    <col min="14" max="14" width="13.7109375" bestFit="1" customWidth="1"/>
    <col min="16" max="16" width="37.42578125" bestFit="1" customWidth="1"/>
    <col min="17" max="17" width="22.42578125" bestFit="1" customWidth="1"/>
    <col min="18" max="18" width="19.7109375" bestFit="1" customWidth="1"/>
    <col min="19" max="19" width="23.7109375" bestFit="1" customWidth="1"/>
  </cols>
  <sheetData>
    <row r="1" spans="1:13" x14ac:dyDescent="0.25">
      <c r="A1" t="s">
        <v>1037</v>
      </c>
    </row>
    <row r="2" spans="1:13" x14ac:dyDescent="0.25">
      <c r="D2" t="s">
        <v>101</v>
      </c>
      <c r="G2" t="s">
        <v>101</v>
      </c>
      <c r="J2" t="s">
        <v>101</v>
      </c>
      <c r="M2" t="s">
        <v>101</v>
      </c>
    </row>
    <row r="3" spans="1:13" x14ac:dyDescent="0.25">
      <c r="A3" t="s">
        <v>0</v>
      </c>
      <c r="B3" t="s">
        <v>1</v>
      </c>
      <c r="C3" t="s">
        <v>2</v>
      </c>
      <c r="D3" t="s">
        <v>1038</v>
      </c>
      <c r="E3" t="s">
        <v>1039</v>
      </c>
      <c r="F3" t="s">
        <v>1040</v>
      </c>
      <c r="G3" t="s">
        <v>1041</v>
      </c>
      <c r="H3" t="s">
        <v>1042</v>
      </c>
      <c r="I3" t="s">
        <v>1043</v>
      </c>
      <c r="J3" t="s">
        <v>1044</v>
      </c>
      <c r="K3" t="s">
        <v>1045</v>
      </c>
      <c r="L3" t="s">
        <v>1057</v>
      </c>
      <c r="M3" t="s">
        <v>1046</v>
      </c>
    </row>
    <row r="4" spans="1:13" x14ac:dyDescent="0.25">
      <c r="A4" t="s">
        <v>1054</v>
      </c>
      <c r="B4" t="s">
        <v>335</v>
      </c>
      <c r="C4" t="s">
        <v>335</v>
      </c>
      <c r="D4" t="s">
        <v>328</v>
      </c>
      <c r="E4" t="s">
        <v>321</v>
      </c>
      <c r="F4" t="s">
        <v>321</v>
      </c>
      <c r="G4" t="s">
        <v>36</v>
      </c>
      <c r="H4" t="s">
        <v>1055</v>
      </c>
      <c r="I4" t="s">
        <v>1056</v>
      </c>
      <c r="J4" s="1" t="s">
        <v>44</v>
      </c>
      <c r="K4" t="s">
        <v>1058</v>
      </c>
      <c r="L4" t="s">
        <v>1059</v>
      </c>
      <c r="M4" t="s">
        <v>330</v>
      </c>
    </row>
  </sheetData>
  <pageMargins left="0.7" right="0.7" top="0.78740157499999996" bottom="0.78740157499999996" header="0.3" footer="0.3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4"/>
  <sheetViews>
    <sheetView workbookViewId="0">
      <selection activeCell="A5" sqref="A5"/>
    </sheetView>
  </sheetViews>
  <sheetFormatPr defaultColWidth="11.42578125" defaultRowHeight="15" x14ac:dyDescent="0.25"/>
  <cols>
    <col min="1" max="1" width="48" customWidth="1"/>
    <col min="3" max="3" width="14.85546875" bestFit="1" customWidth="1"/>
    <col min="4" max="4" width="38.5703125" bestFit="1" customWidth="1"/>
    <col min="5" max="5" width="14.42578125" customWidth="1"/>
    <col min="6" max="6" width="17" customWidth="1"/>
    <col min="7" max="7" width="20.7109375" customWidth="1"/>
    <col min="8" max="8" width="39" bestFit="1" customWidth="1"/>
    <col min="9" max="9" width="18.5703125" bestFit="1" customWidth="1"/>
    <col min="10" max="10" width="15.7109375" bestFit="1" customWidth="1"/>
    <col min="11" max="11" width="38.5703125" bestFit="1" customWidth="1"/>
    <col min="12" max="12" width="13.7109375" bestFit="1" customWidth="1"/>
    <col min="14" max="14" width="37.42578125" bestFit="1" customWidth="1"/>
    <col min="15" max="15" width="22.42578125" bestFit="1" customWidth="1"/>
    <col min="16" max="16" width="19.7109375" bestFit="1" customWidth="1"/>
    <col min="17" max="17" width="23.7109375" bestFit="1" customWidth="1"/>
  </cols>
  <sheetData>
    <row r="1" spans="1:14" x14ac:dyDescent="0.25">
      <c r="A1" t="s">
        <v>1051</v>
      </c>
    </row>
    <row r="2" spans="1:14" x14ac:dyDescent="0.25">
      <c r="D2" t="s">
        <v>101</v>
      </c>
      <c r="H2" t="s">
        <v>101</v>
      </c>
      <c r="K2" t="s">
        <v>101</v>
      </c>
      <c r="N2" t="s">
        <v>101</v>
      </c>
    </row>
    <row r="3" spans="1:14" x14ac:dyDescent="0.25">
      <c r="A3" t="s">
        <v>0</v>
      </c>
      <c r="B3" t="s">
        <v>1</v>
      </c>
      <c r="C3" t="s">
        <v>2</v>
      </c>
      <c r="D3" t="s">
        <v>1038</v>
      </c>
      <c r="E3" t="s">
        <v>333</v>
      </c>
      <c r="F3" t="s">
        <v>1061</v>
      </c>
      <c r="G3" t="s">
        <v>1062</v>
      </c>
      <c r="H3" t="s">
        <v>1063</v>
      </c>
      <c r="I3" t="s">
        <v>1064</v>
      </c>
      <c r="J3" t="s">
        <v>1065</v>
      </c>
      <c r="K3" t="s">
        <v>1066</v>
      </c>
      <c r="L3" t="s">
        <v>1067</v>
      </c>
      <c r="M3" t="s">
        <v>1068</v>
      </c>
      <c r="N3" t="s">
        <v>1069</v>
      </c>
    </row>
    <row r="4" spans="1:14" x14ac:dyDescent="0.25">
      <c r="A4" t="s">
        <v>1060</v>
      </c>
      <c r="B4" t="s">
        <v>292</v>
      </c>
      <c r="C4" t="s">
        <v>291</v>
      </c>
      <c r="D4" t="s">
        <v>293</v>
      </c>
      <c r="E4" t="s">
        <v>337</v>
      </c>
      <c r="F4" t="s">
        <v>1077</v>
      </c>
      <c r="G4">
        <v>-5715515</v>
      </c>
      <c r="H4" t="s">
        <v>1079</v>
      </c>
      <c r="I4" t="s">
        <v>203</v>
      </c>
      <c r="J4" t="s">
        <v>211</v>
      </c>
      <c r="K4" t="s">
        <v>57</v>
      </c>
      <c r="L4" t="s">
        <v>225</v>
      </c>
      <c r="M4" t="s">
        <v>227</v>
      </c>
      <c r="N4" t="s">
        <v>111</v>
      </c>
    </row>
  </sheetData>
  <pageMargins left="0.7" right="0.7" top="0.78740157499999996" bottom="0.78740157499999996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21"/>
  <sheetViews>
    <sheetView workbookViewId="0">
      <selection activeCell="A5" sqref="A5"/>
    </sheetView>
  </sheetViews>
  <sheetFormatPr defaultColWidth="11.42578125" defaultRowHeight="15" x14ac:dyDescent="0.25"/>
  <cols>
    <col min="1" max="1" width="48" customWidth="1"/>
    <col min="2" max="2" width="17.28515625" customWidth="1"/>
    <col min="3" max="3" width="14.85546875" bestFit="1" customWidth="1"/>
    <col min="4" max="4" width="38.5703125" bestFit="1" customWidth="1"/>
    <col min="5" max="5" width="14.42578125" customWidth="1"/>
    <col min="6" max="6" width="17" customWidth="1"/>
    <col min="7" max="7" width="20.7109375" customWidth="1"/>
    <col min="8" max="8" width="39" bestFit="1" customWidth="1"/>
    <col min="9" max="9" width="18.5703125" bestFit="1" customWidth="1"/>
    <col min="10" max="10" width="15.7109375" bestFit="1" customWidth="1"/>
    <col min="11" max="11" width="38.5703125" bestFit="1" customWidth="1"/>
    <col min="12" max="12" width="13.7109375" bestFit="1" customWidth="1"/>
    <col min="14" max="14" width="37.42578125" bestFit="1" customWidth="1"/>
    <col min="15" max="15" width="22.42578125" bestFit="1" customWidth="1"/>
    <col min="16" max="16" width="19.7109375" bestFit="1" customWidth="1"/>
    <col min="17" max="17" width="23.7109375" bestFit="1" customWidth="1"/>
  </cols>
  <sheetData>
    <row r="1" spans="1:2" x14ac:dyDescent="0.25">
      <c r="A1" t="s">
        <v>1052</v>
      </c>
    </row>
    <row r="2" spans="1:2" x14ac:dyDescent="0.25">
      <c r="B2" t="s">
        <v>141</v>
      </c>
    </row>
    <row r="3" spans="1:2" x14ac:dyDescent="0.25">
      <c r="A3" t="s">
        <v>0</v>
      </c>
      <c r="B3" t="s">
        <v>1081</v>
      </c>
    </row>
    <row r="4" spans="1:2" x14ac:dyDescent="0.25">
      <c r="A4" t="s">
        <v>1080</v>
      </c>
      <c r="B4" s="10">
        <f ca="1">NOW()</f>
        <v>45474.842169791664</v>
      </c>
    </row>
    <row r="5" spans="1:2" x14ac:dyDescent="0.25">
      <c r="B5" s="10"/>
    </row>
    <row r="6" spans="1:2" x14ac:dyDescent="0.25">
      <c r="B6" s="10"/>
    </row>
    <row r="7" spans="1:2" x14ac:dyDescent="0.25">
      <c r="B7" s="10"/>
    </row>
    <row r="8" spans="1:2" x14ac:dyDescent="0.25">
      <c r="B8" s="10"/>
    </row>
    <row r="9" spans="1:2" x14ac:dyDescent="0.25">
      <c r="B9" s="10"/>
    </row>
    <row r="10" spans="1:2" x14ac:dyDescent="0.25">
      <c r="B10" s="10"/>
    </row>
    <row r="11" spans="1:2" x14ac:dyDescent="0.25">
      <c r="B11" s="10"/>
    </row>
    <row r="12" spans="1:2" x14ac:dyDescent="0.25">
      <c r="B12" s="10"/>
    </row>
    <row r="13" spans="1:2" x14ac:dyDescent="0.25">
      <c r="B13" s="10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</sheetData>
  <pageMargins left="0.7" right="0.7" top="0.78740157499999996" bottom="0.78740157499999996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21"/>
  <sheetViews>
    <sheetView workbookViewId="0">
      <selection activeCell="A5" sqref="A5"/>
    </sheetView>
  </sheetViews>
  <sheetFormatPr defaultColWidth="11.42578125" defaultRowHeight="15" x14ac:dyDescent="0.25"/>
  <cols>
    <col min="1" max="1" width="48" customWidth="1"/>
    <col min="2" max="2" width="17.28515625" customWidth="1"/>
    <col min="3" max="3" width="14.85546875" bestFit="1" customWidth="1"/>
    <col min="4" max="4" width="38.5703125" bestFit="1" customWidth="1"/>
    <col min="5" max="5" width="14.42578125" customWidth="1"/>
    <col min="6" max="6" width="17" customWidth="1"/>
    <col min="7" max="7" width="20.7109375" customWidth="1"/>
    <col min="8" max="8" width="39" bestFit="1" customWidth="1"/>
    <col min="9" max="9" width="18.5703125" bestFit="1" customWidth="1"/>
    <col min="10" max="10" width="15.7109375" bestFit="1" customWidth="1"/>
    <col min="11" max="11" width="38.5703125" bestFit="1" customWidth="1"/>
    <col min="12" max="12" width="13.7109375" bestFit="1" customWidth="1"/>
    <col min="14" max="14" width="37.42578125" bestFit="1" customWidth="1"/>
    <col min="15" max="15" width="22.42578125" bestFit="1" customWidth="1"/>
    <col min="16" max="16" width="19.7109375" bestFit="1" customWidth="1"/>
    <col min="17" max="17" width="23.7109375" bestFit="1" customWidth="1"/>
  </cols>
  <sheetData>
    <row r="1" spans="1:2" x14ac:dyDescent="0.25">
      <c r="A1" t="s">
        <v>1053</v>
      </c>
    </row>
    <row r="2" spans="1:2" x14ac:dyDescent="0.25">
      <c r="B2" t="s">
        <v>141</v>
      </c>
    </row>
    <row r="3" spans="1:2" x14ac:dyDescent="0.25">
      <c r="A3" t="s">
        <v>0</v>
      </c>
      <c r="B3" t="s">
        <v>1083</v>
      </c>
    </row>
    <row r="4" spans="1:2" x14ac:dyDescent="0.25">
      <c r="A4" t="s">
        <v>1082</v>
      </c>
      <c r="B4" s="10" t="s">
        <v>1084</v>
      </c>
    </row>
    <row r="5" spans="1:2" x14ac:dyDescent="0.25">
      <c r="B5" s="10"/>
    </row>
    <row r="6" spans="1:2" x14ac:dyDescent="0.25">
      <c r="B6" s="10"/>
    </row>
    <row r="7" spans="1:2" x14ac:dyDescent="0.25">
      <c r="B7" s="10"/>
    </row>
    <row r="8" spans="1:2" x14ac:dyDescent="0.25">
      <c r="B8" s="10"/>
    </row>
    <row r="9" spans="1:2" x14ac:dyDescent="0.25">
      <c r="B9" s="10"/>
    </row>
    <row r="10" spans="1:2" x14ac:dyDescent="0.25">
      <c r="B10" s="10"/>
    </row>
    <row r="11" spans="1:2" x14ac:dyDescent="0.25">
      <c r="B11" s="10"/>
    </row>
    <row r="12" spans="1:2" x14ac:dyDescent="0.25">
      <c r="B12" s="10"/>
    </row>
    <row r="13" spans="1:2" x14ac:dyDescent="0.25">
      <c r="B13" s="10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</sheetData>
  <pageMargins left="0.7" right="0.7" top="0.78740157499999996" bottom="0.78740157499999996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I33"/>
  <sheetViews>
    <sheetView workbookViewId="0">
      <selection activeCell="A5" sqref="A5"/>
    </sheetView>
  </sheetViews>
  <sheetFormatPr defaultColWidth="11.42578125" defaultRowHeight="15" x14ac:dyDescent="0.25"/>
  <cols>
    <col min="1" max="1" width="48" customWidth="1"/>
    <col min="2" max="2" width="17.28515625" customWidth="1"/>
    <col min="3" max="3" width="14.85546875" bestFit="1" customWidth="1"/>
    <col min="4" max="4" width="13.140625" customWidth="1"/>
    <col min="5" max="5" width="36.7109375" bestFit="1" customWidth="1"/>
    <col min="6" max="9" width="37" bestFit="1" customWidth="1"/>
    <col min="10" max="10" width="15.7109375" bestFit="1" customWidth="1"/>
    <col min="11" max="11" width="38.5703125" bestFit="1" customWidth="1"/>
    <col min="12" max="12" width="13.7109375" bestFit="1" customWidth="1"/>
    <col min="14" max="14" width="37.42578125" bestFit="1" customWidth="1"/>
    <col min="15" max="15" width="22.42578125" bestFit="1" customWidth="1"/>
    <col min="16" max="16" width="19.7109375" bestFit="1" customWidth="1"/>
    <col min="17" max="17" width="23.7109375" bestFit="1" customWidth="1"/>
  </cols>
  <sheetData>
    <row r="1" spans="1:9" x14ac:dyDescent="0.25">
      <c r="A1" t="s">
        <v>1196</v>
      </c>
    </row>
    <row r="2" spans="1:9" x14ac:dyDescent="0.25">
      <c r="B2" t="s">
        <v>60</v>
      </c>
      <c r="C2" t="s">
        <v>60</v>
      </c>
    </row>
    <row r="3" spans="1:9" x14ac:dyDescent="0.25">
      <c r="A3" t="s">
        <v>0</v>
      </c>
      <c r="B3" t="s">
        <v>1088</v>
      </c>
      <c r="C3" t="s">
        <v>1089</v>
      </c>
      <c r="D3" t="s">
        <v>1090</v>
      </c>
      <c r="E3" t="s">
        <v>1038</v>
      </c>
      <c r="F3" t="s">
        <v>1037</v>
      </c>
      <c r="G3" t="s">
        <v>1051</v>
      </c>
      <c r="H3" t="s">
        <v>1052</v>
      </c>
      <c r="I3" t="s">
        <v>1053</v>
      </c>
    </row>
    <row r="4" spans="1:9" x14ac:dyDescent="0.25">
      <c r="A4" t="s">
        <v>1087</v>
      </c>
      <c r="B4" s="11">
        <v>120</v>
      </c>
      <c r="C4">
        <v>13</v>
      </c>
      <c r="D4" t="s">
        <v>1091</v>
      </c>
      <c r="E4" t="s">
        <v>1092</v>
      </c>
      <c r="F4" t="s">
        <v>1054</v>
      </c>
      <c r="G4" t="s">
        <v>1060</v>
      </c>
      <c r="H4" t="s">
        <v>1080</v>
      </c>
      <c r="I4" t="s">
        <v>1082</v>
      </c>
    </row>
    <row r="5" spans="1:9" x14ac:dyDescent="0.25">
      <c r="B5" s="11"/>
    </row>
    <row r="6" spans="1:9" x14ac:dyDescent="0.25">
      <c r="B6" s="11"/>
    </row>
    <row r="7" spans="1:9" x14ac:dyDescent="0.25">
      <c r="B7" s="11"/>
    </row>
    <row r="8" spans="1:9" x14ac:dyDescent="0.25">
      <c r="B8" s="11"/>
    </row>
    <row r="9" spans="1:9" x14ac:dyDescent="0.25">
      <c r="B9" s="11"/>
    </row>
    <row r="10" spans="1:9" x14ac:dyDescent="0.25">
      <c r="B10" s="11"/>
    </row>
    <row r="11" spans="1:9" x14ac:dyDescent="0.25">
      <c r="B11" s="11"/>
    </row>
    <row r="12" spans="1:9" x14ac:dyDescent="0.25">
      <c r="B12" s="11"/>
    </row>
    <row r="13" spans="1:9" x14ac:dyDescent="0.25">
      <c r="B13" s="11"/>
    </row>
    <row r="14" spans="1:9" x14ac:dyDescent="0.25">
      <c r="B14" s="11"/>
    </row>
    <row r="15" spans="1:9" x14ac:dyDescent="0.25">
      <c r="B15" s="11"/>
    </row>
    <row r="16" spans="1:9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  <row r="25" spans="2:2" x14ac:dyDescent="0.25">
      <c r="B25" s="11"/>
    </row>
    <row r="26" spans="2:2" x14ac:dyDescent="0.25">
      <c r="B26" s="11"/>
    </row>
    <row r="27" spans="2:2" x14ac:dyDescent="0.25">
      <c r="B27" s="11"/>
    </row>
    <row r="28" spans="2:2" x14ac:dyDescent="0.25">
      <c r="B28" s="11"/>
    </row>
    <row r="29" spans="2:2" x14ac:dyDescent="0.25">
      <c r="B29" s="11"/>
    </row>
    <row r="30" spans="2:2" x14ac:dyDescent="0.25">
      <c r="B30" s="11"/>
    </row>
    <row r="31" spans="2:2" x14ac:dyDescent="0.25">
      <c r="B31" s="11"/>
    </row>
    <row r="32" spans="2:2" x14ac:dyDescent="0.25">
      <c r="B32" s="11"/>
    </row>
    <row r="33" spans="2:2" x14ac:dyDescent="0.25">
      <c r="B33" s="11"/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4" sqref="A4"/>
    </sheetView>
  </sheetViews>
  <sheetFormatPr defaultColWidth="11.42578125" defaultRowHeight="15" x14ac:dyDescent="0.25"/>
  <cols>
    <col min="1" max="1" width="115.7109375" customWidth="1"/>
  </cols>
  <sheetData>
    <row r="1" spans="1:1" x14ac:dyDescent="0.25">
      <c r="A1" t="s">
        <v>125</v>
      </c>
    </row>
    <row r="2" spans="1:1" ht="45" x14ac:dyDescent="0.25">
      <c r="A2" s="4" t="s">
        <v>490</v>
      </c>
    </row>
    <row r="3" spans="1:1" ht="45" x14ac:dyDescent="0.25">
      <c r="A3" s="4" t="s">
        <v>491</v>
      </c>
    </row>
  </sheetData>
  <pageMargins left="0.7" right="0.7" top="0.78740157499999996" bottom="0.78740157499999996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"/>
  <sheetViews>
    <sheetView workbookViewId="0">
      <selection activeCell="A9" sqref="A9"/>
    </sheetView>
  </sheetViews>
  <sheetFormatPr defaultColWidth="11.42578125" defaultRowHeight="15" x14ac:dyDescent="0.25"/>
  <cols>
    <col min="1" max="1" width="36.7109375" bestFit="1" customWidth="1"/>
    <col min="2" max="2" width="18.7109375" bestFit="1" customWidth="1"/>
    <col min="3" max="3" width="37.42578125" bestFit="1" customWidth="1"/>
  </cols>
  <sheetData>
    <row r="1" spans="1:3" x14ac:dyDescent="0.25">
      <c r="A1" t="s">
        <v>494</v>
      </c>
    </row>
    <row r="3" spans="1:3" x14ac:dyDescent="0.25">
      <c r="A3" t="s">
        <v>0</v>
      </c>
      <c r="B3" t="s">
        <v>1</v>
      </c>
      <c r="C3" t="s">
        <v>2</v>
      </c>
    </row>
    <row r="4" spans="1:3" x14ac:dyDescent="0.25">
      <c r="A4" t="s">
        <v>499</v>
      </c>
      <c r="C4" t="s">
        <v>500</v>
      </c>
    </row>
    <row r="5" spans="1:3" x14ac:dyDescent="0.25">
      <c r="A5" t="s">
        <v>505</v>
      </c>
      <c r="C5" t="s">
        <v>500</v>
      </c>
    </row>
    <row r="6" spans="1:3" x14ac:dyDescent="0.25">
      <c r="A6" t="s">
        <v>523</v>
      </c>
      <c r="C6" t="s">
        <v>500</v>
      </c>
    </row>
    <row r="7" spans="1:3" x14ac:dyDescent="0.25">
      <c r="A7" t="s">
        <v>524</v>
      </c>
      <c r="C7" t="s">
        <v>500</v>
      </c>
    </row>
    <row r="8" spans="1:3" x14ac:dyDescent="0.25">
      <c r="A8" t="s">
        <v>525</v>
      </c>
      <c r="C8" t="s">
        <v>500</v>
      </c>
    </row>
    <row r="18" spans="1:1" x14ac:dyDescent="0.25">
      <c r="A18" t="s">
        <v>504</v>
      </c>
    </row>
  </sheetData>
  <pageMargins left="0.7" right="0.7" top="0.78740157499999996" bottom="0.78740157499999996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13"/>
  <sheetViews>
    <sheetView workbookViewId="0">
      <selection activeCell="A14" sqref="A14"/>
    </sheetView>
  </sheetViews>
  <sheetFormatPr defaultColWidth="11.42578125" defaultRowHeight="15" x14ac:dyDescent="0.25"/>
  <cols>
    <col min="1" max="1" width="38" bestFit="1" customWidth="1"/>
    <col min="2" max="2" width="37.42578125" bestFit="1" customWidth="1"/>
    <col min="3" max="3" width="37" bestFit="1" customWidth="1"/>
    <col min="4" max="4" width="19.140625" bestFit="1" customWidth="1"/>
    <col min="5" max="5" width="38.85546875" bestFit="1" customWidth="1"/>
  </cols>
  <sheetData>
    <row r="1" spans="1:5" x14ac:dyDescent="0.25">
      <c r="A1" t="s">
        <v>492</v>
      </c>
    </row>
    <row r="2" spans="1:5" x14ac:dyDescent="0.25">
      <c r="B2" t="s">
        <v>101</v>
      </c>
      <c r="C2" t="s">
        <v>101</v>
      </c>
      <c r="E2" t="s">
        <v>101</v>
      </c>
    </row>
    <row r="3" spans="1:5" x14ac:dyDescent="0.25">
      <c r="A3" t="s">
        <v>0</v>
      </c>
      <c r="B3" t="s">
        <v>493</v>
      </c>
      <c r="C3" t="s">
        <v>494</v>
      </c>
      <c r="D3" t="s">
        <v>495</v>
      </c>
      <c r="E3" t="s">
        <v>67</v>
      </c>
    </row>
    <row r="4" spans="1:5" x14ac:dyDescent="0.25">
      <c r="A4" t="s">
        <v>497</v>
      </c>
      <c r="B4" t="s">
        <v>1103</v>
      </c>
      <c r="C4" t="s">
        <v>499</v>
      </c>
      <c r="D4">
        <v>3</v>
      </c>
      <c r="E4" t="s">
        <v>100</v>
      </c>
    </row>
    <row r="5" spans="1:5" x14ac:dyDescent="0.25">
      <c r="A5" t="s">
        <v>507</v>
      </c>
      <c r="B5" t="s">
        <v>1103</v>
      </c>
      <c r="C5" t="s">
        <v>505</v>
      </c>
      <c r="D5">
        <v>4</v>
      </c>
      <c r="E5" t="s">
        <v>100</v>
      </c>
    </row>
    <row r="6" spans="1:5" x14ac:dyDescent="0.25">
      <c r="A6" t="s">
        <v>526</v>
      </c>
      <c r="B6" t="s">
        <v>1103</v>
      </c>
      <c r="C6" t="s">
        <v>523</v>
      </c>
      <c r="D6">
        <v>6</v>
      </c>
      <c r="E6" t="s">
        <v>100</v>
      </c>
    </row>
    <row r="7" spans="1:5" x14ac:dyDescent="0.25">
      <c r="A7" t="s">
        <v>527</v>
      </c>
      <c r="B7" t="s">
        <v>1103</v>
      </c>
      <c r="C7" t="s">
        <v>524</v>
      </c>
      <c r="D7">
        <v>10</v>
      </c>
      <c r="E7" t="s">
        <v>100</v>
      </c>
    </row>
    <row r="8" spans="1:5" x14ac:dyDescent="0.25">
      <c r="A8" t="s">
        <v>528</v>
      </c>
      <c r="B8" t="s">
        <v>1103</v>
      </c>
      <c r="C8" t="s">
        <v>525</v>
      </c>
      <c r="D8">
        <v>15</v>
      </c>
      <c r="E8" t="s">
        <v>100</v>
      </c>
    </row>
    <row r="9" spans="1:5" x14ac:dyDescent="0.25">
      <c r="A9" t="s">
        <v>1198</v>
      </c>
      <c r="B9" t="s">
        <v>1197</v>
      </c>
      <c r="C9" t="s">
        <v>499</v>
      </c>
      <c r="D9">
        <v>3</v>
      </c>
      <c r="E9" t="s">
        <v>100</v>
      </c>
    </row>
    <row r="10" spans="1:5" x14ac:dyDescent="0.25">
      <c r="A10" t="s">
        <v>1199</v>
      </c>
      <c r="B10" t="s">
        <v>1197</v>
      </c>
      <c r="C10" t="s">
        <v>505</v>
      </c>
      <c r="D10">
        <v>4</v>
      </c>
      <c r="E10" t="s">
        <v>100</v>
      </c>
    </row>
    <row r="11" spans="1:5" x14ac:dyDescent="0.25">
      <c r="A11" t="s">
        <v>1200</v>
      </c>
      <c r="B11" t="s">
        <v>1197</v>
      </c>
      <c r="C11" t="s">
        <v>523</v>
      </c>
      <c r="D11">
        <v>6</v>
      </c>
      <c r="E11" t="s">
        <v>100</v>
      </c>
    </row>
    <row r="12" spans="1:5" x14ac:dyDescent="0.25">
      <c r="A12" t="s">
        <v>1201</v>
      </c>
      <c r="B12" t="s">
        <v>1197</v>
      </c>
      <c r="C12" t="s">
        <v>524</v>
      </c>
      <c r="D12">
        <v>10</v>
      </c>
      <c r="E12" t="s">
        <v>100</v>
      </c>
    </row>
    <row r="13" spans="1:5" x14ac:dyDescent="0.25">
      <c r="A13" t="s">
        <v>1202</v>
      </c>
      <c r="B13" t="s">
        <v>1197</v>
      </c>
      <c r="C13" t="s">
        <v>525</v>
      </c>
      <c r="D13">
        <v>15</v>
      </c>
      <c r="E13" t="s">
        <v>100</v>
      </c>
    </row>
  </sheetData>
  <pageMargins left="0.7" right="0.7" top="0.78740157499999996" bottom="0.78740157499999996" header="0.3" footer="0.3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A9" sqref="A9"/>
    </sheetView>
  </sheetViews>
  <sheetFormatPr defaultColWidth="11.42578125" defaultRowHeight="15" x14ac:dyDescent="0.25"/>
  <cols>
    <col min="1" max="2" width="36.7109375" bestFit="1" customWidth="1"/>
    <col min="3" max="3" width="37.140625" bestFit="1" customWidth="1"/>
  </cols>
  <sheetData>
    <row r="1" spans="1:3" x14ac:dyDescent="0.25">
      <c r="A1" t="s">
        <v>501</v>
      </c>
    </row>
    <row r="3" spans="1:3" x14ac:dyDescent="0.25">
      <c r="A3" t="s">
        <v>0</v>
      </c>
      <c r="B3" t="s">
        <v>494</v>
      </c>
      <c r="C3" t="s">
        <v>4</v>
      </c>
    </row>
    <row r="4" spans="1:3" x14ac:dyDescent="0.25">
      <c r="A4" t="s">
        <v>503</v>
      </c>
      <c r="B4" t="s">
        <v>499</v>
      </c>
      <c r="C4" t="s">
        <v>6</v>
      </c>
    </row>
    <row r="5" spans="1:3" x14ac:dyDescent="0.25">
      <c r="A5" t="s">
        <v>506</v>
      </c>
      <c r="B5" t="s">
        <v>505</v>
      </c>
      <c r="C5" t="s">
        <v>7</v>
      </c>
    </row>
    <row r="6" spans="1:3" x14ac:dyDescent="0.25">
      <c r="A6" t="s">
        <v>520</v>
      </c>
      <c r="B6" t="s">
        <v>523</v>
      </c>
      <c r="C6" t="s">
        <v>508</v>
      </c>
    </row>
    <row r="7" spans="1:3" x14ac:dyDescent="0.25">
      <c r="A7" t="s">
        <v>521</v>
      </c>
      <c r="B7" t="s">
        <v>524</v>
      </c>
      <c r="C7" t="s">
        <v>509</v>
      </c>
    </row>
    <row r="8" spans="1:3" x14ac:dyDescent="0.25">
      <c r="A8" t="s">
        <v>522</v>
      </c>
      <c r="B8" t="s">
        <v>525</v>
      </c>
      <c r="C8" t="s">
        <v>510</v>
      </c>
    </row>
    <row r="25" spans="3:3" x14ac:dyDescent="0.25">
      <c r="C25" s="7"/>
    </row>
  </sheetData>
  <pageMargins left="0.7" right="0.7" top="0.78740157499999996" bottom="0.78740157499999996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G8"/>
  <sheetViews>
    <sheetView workbookViewId="0">
      <selection activeCell="A9" sqref="A9"/>
    </sheetView>
  </sheetViews>
  <sheetFormatPr defaultColWidth="11.42578125" defaultRowHeight="15" x14ac:dyDescent="0.25"/>
  <cols>
    <col min="1" max="1" width="36.85546875" bestFit="1" customWidth="1"/>
    <col min="2" max="2" width="28.85546875" bestFit="1" customWidth="1"/>
    <col min="3" max="3" width="37.28515625" customWidth="1"/>
    <col min="4" max="4" width="38.5703125" customWidth="1"/>
    <col min="7" max="7" width="38.5703125" bestFit="1" customWidth="1"/>
  </cols>
  <sheetData>
    <row r="1" spans="1:7" x14ac:dyDescent="0.25">
      <c r="A1" t="s">
        <v>192</v>
      </c>
    </row>
    <row r="2" spans="1:7" x14ac:dyDescent="0.25">
      <c r="D2" t="s">
        <v>101</v>
      </c>
      <c r="E2" t="s">
        <v>5</v>
      </c>
      <c r="G2" t="s">
        <v>101</v>
      </c>
    </row>
    <row r="3" spans="1:7" x14ac:dyDescent="0.25">
      <c r="A3" t="s">
        <v>0</v>
      </c>
      <c r="B3" t="s">
        <v>195</v>
      </c>
      <c r="C3" t="s">
        <v>194</v>
      </c>
      <c r="D3" t="s">
        <v>35</v>
      </c>
      <c r="E3" t="s">
        <v>196</v>
      </c>
      <c r="F3" t="s">
        <v>340</v>
      </c>
      <c r="G3" t="s">
        <v>67</v>
      </c>
    </row>
    <row r="4" spans="1:7" x14ac:dyDescent="0.25">
      <c r="A4" t="s">
        <v>200</v>
      </c>
      <c r="B4" t="s">
        <v>197</v>
      </c>
      <c r="C4" t="s">
        <v>197</v>
      </c>
      <c r="D4" t="s">
        <v>98</v>
      </c>
      <c r="E4">
        <v>0</v>
      </c>
      <c r="F4">
        <v>1</v>
      </c>
      <c r="G4" t="s">
        <v>1155</v>
      </c>
    </row>
    <row r="5" spans="1:7" x14ac:dyDescent="0.25">
      <c r="A5" t="s">
        <v>201</v>
      </c>
      <c r="B5" t="s">
        <v>198</v>
      </c>
      <c r="C5" t="s">
        <v>198</v>
      </c>
      <c r="D5" t="s">
        <v>98</v>
      </c>
      <c r="E5">
        <v>0</v>
      </c>
      <c r="F5">
        <v>1</v>
      </c>
      <c r="G5" t="s">
        <v>1155</v>
      </c>
    </row>
    <row r="6" spans="1:7" x14ac:dyDescent="0.25">
      <c r="A6" t="s">
        <v>202</v>
      </c>
      <c r="B6" t="s">
        <v>199</v>
      </c>
      <c r="C6" t="s">
        <v>199</v>
      </c>
      <c r="D6" t="s">
        <v>98</v>
      </c>
      <c r="E6">
        <v>0</v>
      </c>
      <c r="F6">
        <v>1</v>
      </c>
      <c r="G6" t="s">
        <v>1155</v>
      </c>
    </row>
    <row r="7" spans="1:7" ht="15.75" customHeight="1" x14ac:dyDescent="0.25">
      <c r="A7" t="s">
        <v>341</v>
      </c>
      <c r="B7" t="s">
        <v>1647</v>
      </c>
      <c r="C7" s="4" t="s">
        <v>1648</v>
      </c>
      <c r="D7" t="s">
        <v>98</v>
      </c>
      <c r="E7">
        <v>250000</v>
      </c>
      <c r="F7">
        <v>1</v>
      </c>
      <c r="G7" t="s">
        <v>1155</v>
      </c>
    </row>
    <row r="8" spans="1:7" ht="15.75" customHeight="1" x14ac:dyDescent="0.25">
      <c r="A8" t="s">
        <v>1649</v>
      </c>
      <c r="B8" t="s">
        <v>1650</v>
      </c>
      <c r="C8" s="4" t="s">
        <v>1651</v>
      </c>
      <c r="D8" t="s">
        <v>98</v>
      </c>
      <c r="E8">
        <v>10000</v>
      </c>
      <c r="F8">
        <v>1</v>
      </c>
      <c r="G8" t="s">
        <v>1155</v>
      </c>
    </row>
  </sheetData>
  <pageMargins left="0.7" right="0.7" top="0.78740157499999996" bottom="0.78740157499999996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L14"/>
  <sheetViews>
    <sheetView workbookViewId="0">
      <selection activeCell="A15" sqref="A15"/>
    </sheetView>
  </sheetViews>
  <sheetFormatPr defaultColWidth="11.42578125" defaultRowHeight="15" x14ac:dyDescent="0.25"/>
  <cols>
    <col min="1" max="1" width="36.7109375" bestFit="1" customWidth="1"/>
    <col min="2" max="2" width="14.140625" customWidth="1"/>
    <col min="3" max="3" width="14.42578125" customWidth="1"/>
    <col min="4" max="4" width="36" customWidth="1"/>
    <col min="5" max="5" width="8.28515625" customWidth="1"/>
    <col min="6" max="6" width="15.7109375" style="6" customWidth="1"/>
    <col min="7" max="7" width="37.5703125" bestFit="1" customWidth="1"/>
    <col min="8" max="8" width="14.7109375" customWidth="1"/>
    <col min="9" max="9" width="16.7109375" customWidth="1"/>
    <col min="10" max="10" width="14.85546875" customWidth="1"/>
    <col min="11" max="11" width="37.85546875" bestFit="1" customWidth="1"/>
    <col min="12" max="12" width="37.140625" bestFit="1" customWidth="1"/>
  </cols>
  <sheetData>
    <row r="1" spans="1:12" x14ac:dyDescent="0.25">
      <c r="A1" t="s">
        <v>342</v>
      </c>
    </row>
    <row r="2" spans="1:12" x14ac:dyDescent="0.25">
      <c r="D2" t="s">
        <v>101</v>
      </c>
      <c r="F2" s="6" t="s">
        <v>141</v>
      </c>
      <c r="G2" t="s">
        <v>101</v>
      </c>
      <c r="H2" t="s">
        <v>5</v>
      </c>
      <c r="J2" t="s">
        <v>5</v>
      </c>
      <c r="K2" t="s">
        <v>101</v>
      </c>
      <c r="L2" t="s">
        <v>101</v>
      </c>
    </row>
    <row r="3" spans="1:12" x14ac:dyDescent="0.25">
      <c r="A3" t="s">
        <v>0</v>
      </c>
      <c r="B3" t="s">
        <v>1</v>
      </c>
      <c r="C3" t="s">
        <v>2</v>
      </c>
      <c r="D3" t="s">
        <v>35</v>
      </c>
      <c r="E3" t="s">
        <v>352</v>
      </c>
      <c r="F3" s="6" t="s">
        <v>345</v>
      </c>
      <c r="G3" t="s">
        <v>135</v>
      </c>
      <c r="H3" t="s">
        <v>346</v>
      </c>
      <c r="I3" t="s">
        <v>347</v>
      </c>
      <c r="J3" t="s">
        <v>348</v>
      </c>
      <c r="K3" t="s">
        <v>104</v>
      </c>
      <c r="L3" t="s">
        <v>103</v>
      </c>
    </row>
    <row r="4" spans="1:12" x14ac:dyDescent="0.25">
      <c r="A4" t="s">
        <v>344</v>
      </c>
      <c r="B4" t="s">
        <v>361</v>
      </c>
      <c r="C4" t="s">
        <v>361</v>
      </c>
      <c r="D4" t="s">
        <v>36</v>
      </c>
      <c r="E4" t="s">
        <v>353</v>
      </c>
      <c r="F4" s="6">
        <f ca="1">NOW()</f>
        <v>45474.842169791664</v>
      </c>
      <c r="G4" t="s">
        <v>137</v>
      </c>
      <c r="H4">
        <v>0</v>
      </c>
      <c r="I4">
        <v>0</v>
      </c>
      <c r="J4">
        <v>0</v>
      </c>
      <c r="K4" t="s">
        <v>107</v>
      </c>
      <c r="L4" t="s">
        <v>106</v>
      </c>
    </row>
    <row r="5" spans="1:12" x14ac:dyDescent="0.25">
      <c r="A5" t="s">
        <v>354</v>
      </c>
      <c r="B5" t="s">
        <v>362</v>
      </c>
      <c r="C5" t="s">
        <v>362</v>
      </c>
      <c r="D5" t="s">
        <v>36</v>
      </c>
      <c r="E5" t="s">
        <v>353</v>
      </c>
      <c r="F5" s="6">
        <f t="shared" ref="F5:F14" ca="1" si="0">NOW()</f>
        <v>45474.842169791664</v>
      </c>
      <c r="G5" t="s">
        <v>137</v>
      </c>
      <c r="H5">
        <v>0</v>
      </c>
      <c r="I5">
        <v>0</v>
      </c>
      <c r="J5">
        <v>0</v>
      </c>
      <c r="K5" t="s">
        <v>107</v>
      </c>
      <c r="L5" t="s">
        <v>106</v>
      </c>
    </row>
    <row r="6" spans="1:12" x14ac:dyDescent="0.25">
      <c r="A6" t="s">
        <v>355</v>
      </c>
      <c r="B6" t="s">
        <v>363</v>
      </c>
      <c r="C6" t="s">
        <v>363</v>
      </c>
      <c r="D6" t="s">
        <v>36</v>
      </c>
      <c r="E6" t="s">
        <v>353</v>
      </c>
      <c r="F6" s="6">
        <f t="shared" ca="1" si="0"/>
        <v>45474.842169791664</v>
      </c>
      <c r="G6" t="s">
        <v>137</v>
      </c>
      <c r="H6">
        <v>0</v>
      </c>
      <c r="I6">
        <v>0</v>
      </c>
      <c r="J6">
        <v>0</v>
      </c>
      <c r="K6" t="s">
        <v>107</v>
      </c>
      <c r="L6" t="s">
        <v>106</v>
      </c>
    </row>
    <row r="7" spans="1:12" x14ac:dyDescent="0.25">
      <c r="A7" t="s">
        <v>356</v>
      </c>
      <c r="B7" t="s">
        <v>364</v>
      </c>
      <c r="C7" t="s">
        <v>364</v>
      </c>
      <c r="D7" t="s">
        <v>36</v>
      </c>
      <c r="E7" t="s">
        <v>353</v>
      </c>
      <c r="F7" s="6">
        <f t="shared" ca="1" si="0"/>
        <v>45474.842169791664</v>
      </c>
      <c r="G7" t="s">
        <v>150</v>
      </c>
      <c r="H7">
        <v>0</v>
      </c>
      <c r="I7">
        <v>0</v>
      </c>
      <c r="J7">
        <v>0</v>
      </c>
      <c r="K7" t="s">
        <v>176</v>
      </c>
      <c r="L7" t="s">
        <v>379</v>
      </c>
    </row>
    <row r="8" spans="1:12" x14ac:dyDescent="0.25">
      <c r="A8" t="s">
        <v>357</v>
      </c>
      <c r="B8" t="s">
        <v>365</v>
      </c>
      <c r="C8" t="s">
        <v>365</v>
      </c>
      <c r="D8" t="s">
        <v>36</v>
      </c>
      <c r="E8" t="s">
        <v>353</v>
      </c>
      <c r="F8" s="6">
        <f t="shared" ca="1" si="0"/>
        <v>45474.842169791664</v>
      </c>
      <c r="G8" t="s">
        <v>150</v>
      </c>
      <c r="H8">
        <v>0</v>
      </c>
      <c r="I8">
        <v>0</v>
      </c>
      <c r="J8">
        <v>0</v>
      </c>
      <c r="K8" t="s">
        <v>176</v>
      </c>
      <c r="L8" t="s">
        <v>379</v>
      </c>
    </row>
    <row r="9" spans="1:12" x14ac:dyDescent="0.25">
      <c r="A9" t="s">
        <v>358</v>
      </c>
      <c r="B9" t="s">
        <v>366</v>
      </c>
      <c r="C9" t="s">
        <v>366</v>
      </c>
      <c r="D9" t="s">
        <v>36</v>
      </c>
      <c r="E9" t="s">
        <v>353</v>
      </c>
      <c r="F9" s="6">
        <f t="shared" ca="1" si="0"/>
        <v>45474.842169791664</v>
      </c>
      <c r="G9" t="s">
        <v>137</v>
      </c>
      <c r="H9">
        <v>0</v>
      </c>
      <c r="I9">
        <v>0</v>
      </c>
      <c r="J9">
        <v>0</v>
      </c>
      <c r="K9" t="s">
        <v>177</v>
      </c>
      <c r="L9" t="s">
        <v>380</v>
      </c>
    </row>
    <row r="10" spans="1:12" x14ac:dyDescent="0.25">
      <c r="A10" t="s">
        <v>359</v>
      </c>
      <c r="B10" t="s">
        <v>367</v>
      </c>
      <c r="C10" t="s">
        <v>367</v>
      </c>
      <c r="D10" t="s">
        <v>36</v>
      </c>
      <c r="E10" t="s">
        <v>353</v>
      </c>
      <c r="F10" s="6">
        <f t="shared" ca="1" si="0"/>
        <v>45474.842169791664</v>
      </c>
      <c r="G10" t="s">
        <v>151</v>
      </c>
      <c r="H10">
        <v>0</v>
      </c>
      <c r="I10">
        <v>0</v>
      </c>
      <c r="J10">
        <v>0</v>
      </c>
      <c r="K10" t="s">
        <v>178</v>
      </c>
      <c r="L10" t="s">
        <v>98</v>
      </c>
    </row>
    <row r="11" spans="1:12" x14ac:dyDescent="0.25">
      <c r="A11" t="s">
        <v>360</v>
      </c>
      <c r="B11" t="s">
        <v>368</v>
      </c>
      <c r="C11" t="s">
        <v>368</v>
      </c>
      <c r="D11" t="s">
        <v>36</v>
      </c>
      <c r="E11" t="s">
        <v>353</v>
      </c>
      <c r="F11" s="6">
        <f t="shared" ca="1" si="0"/>
        <v>45474.842169791664</v>
      </c>
      <c r="G11" t="s">
        <v>151</v>
      </c>
      <c r="H11">
        <v>0</v>
      </c>
      <c r="I11">
        <v>0</v>
      </c>
      <c r="J11">
        <v>0</v>
      </c>
      <c r="K11" t="s">
        <v>178</v>
      </c>
      <c r="L11" t="s">
        <v>98</v>
      </c>
    </row>
    <row r="12" spans="1:12" x14ac:dyDescent="0.25">
      <c r="A12" t="s">
        <v>735</v>
      </c>
      <c r="B12" t="s">
        <v>736</v>
      </c>
      <c r="C12" t="s">
        <v>736</v>
      </c>
      <c r="D12" t="s">
        <v>36</v>
      </c>
      <c r="E12" t="s">
        <v>353</v>
      </c>
      <c r="F12" s="6">
        <f t="shared" ca="1" si="0"/>
        <v>45474.842169791664</v>
      </c>
      <c r="G12" t="s">
        <v>711</v>
      </c>
      <c r="H12">
        <v>0</v>
      </c>
      <c r="I12">
        <v>0</v>
      </c>
      <c r="J12">
        <v>0</v>
      </c>
      <c r="K12" t="s">
        <v>178</v>
      </c>
      <c r="L12" t="s">
        <v>98</v>
      </c>
    </row>
    <row r="13" spans="1:12" x14ac:dyDescent="0.25">
      <c r="A13" t="s">
        <v>737</v>
      </c>
      <c r="B13" t="s">
        <v>739</v>
      </c>
      <c r="C13" t="s">
        <v>739</v>
      </c>
      <c r="D13" t="s">
        <v>36</v>
      </c>
      <c r="E13" t="s">
        <v>353</v>
      </c>
      <c r="F13" s="6">
        <f t="shared" ca="1" si="0"/>
        <v>45474.842169791664</v>
      </c>
      <c r="G13" t="s">
        <v>712</v>
      </c>
      <c r="H13">
        <v>0</v>
      </c>
      <c r="I13">
        <v>0</v>
      </c>
      <c r="J13">
        <v>0</v>
      </c>
      <c r="K13" t="s">
        <v>178</v>
      </c>
      <c r="L13" t="s">
        <v>98</v>
      </c>
    </row>
    <row r="14" spans="1:12" x14ac:dyDescent="0.25">
      <c r="A14" t="s">
        <v>738</v>
      </c>
      <c r="B14" t="s">
        <v>740</v>
      </c>
      <c r="C14" t="s">
        <v>740</v>
      </c>
      <c r="D14" t="s">
        <v>36</v>
      </c>
      <c r="E14" t="s">
        <v>353</v>
      </c>
      <c r="F14" s="6">
        <f t="shared" ca="1" si="0"/>
        <v>45474.842169791664</v>
      </c>
      <c r="G14" t="s">
        <v>713</v>
      </c>
      <c r="H14">
        <v>0</v>
      </c>
      <c r="I14">
        <v>0</v>
      </c>
      <c r="J14">
        <v>0</v>
      </c>
      <c r="K14" t="s">
        <v>178</v>
      </c>
      <c r="L14" t="s">
        <v>98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D14"/>
  <sheetViews>
    <sheetView workbookViewId="0">
      <selection activeCell="A15" sqref="A15"/>
    </sheetView>
  </sheetViews>
  <sheetFormatPr defaultColWidth="11.42578125" defaultRowHeight="15" x14ac:dyDescent="0.25"/>
  <cols>
    <col min="1" max="1" width="38" bestFit="1" customWidth="1"/>
    <col min="2" max="2" width="37.42578125" bestFit="1" customWidth="1"/>
    <col min="3" max="3" width="37" bestFit="1" customWidth="1"/>
    <col min="4" max="4" width="15.5703125" bestFit="1" customWidth="1"/>
  </cols>
  <sheetData>
    <row r="1" spans="1:4" x14ac:dyDescent="0.25">
      <c r="A1" t="s">
        <v>349</v>
      </c>
    </row>
    <row r="2" spans="1:4" x14ac:dyDescent="0.25">
      <c r="B2" t="s">
        <v>101</v>
      </c>
      <c r="C2" t="s">
        <v>101</v>
      </c>
    </row>
    <row r="3" spans="1:4" x14ac:dyDescent="0.25">
      <c r="A3" t="s">
        <v>0</v>
      </c>
      <c r="B3" t="s">
        <v>155</v>
      </c>
      <c r="C3" t="s">
        <v>342</v>
      </c>
      <c r="D3" t="s">
        <v>409</v>
      </c>
    </row>
    <row r="4" spans="1:4" x14ac:dyDescent="0.25">
      <c r="A4" t="s">
        <v>351</v>
      </c>
      <c r="B4" t="s">
        <v>11</v>
      </c>
      <c r="C4" t="s">
        <v>344</v>
      </c>
      <c r="D4">
        <v>1</v>
      </c>
    </row>
    <row r="5" spans="1:4" x14ac:dyDescent="0.25">
      <c r="A5" t="s">
        <v>369</v>
      </c>
      <c r="B5" t="s">
        <v>122</v>
      </c>
      <c r="C5" t="s">
        <v>354</v>
      </c>
      <c r="D5">
        <v>1</v>
      </c>
    </row>
    <row r="6" spans="1:4" x14ac:dyDescent="0.25">
      <c r="A6" t="s">
        <v>370</v>
      </c>
      <c r="B6" t="s">
        <v>124</v>
      </c>
      <c r="C6" t="s">
        <v>355</v>
      </c>
      <c r="D6">
        <v>1</v>
      </c>
    </row>
    <row r="7" spans="1:4" x14ac:dyDescent="0.25">
      <c r="A7" t="s">
        <v>371</v>
      </c>
      <c r="B7" t="s">
        <v>11</v>
      </c>
      <c r="C7" t="s">
        <v>356</v>
      </c>
      <c r="D7">
        <v>1</v>
      </c>
    </row>
    <row r="8" spans="1:4" x14ac:dyDescent="0.25">
      <c r="A8" t="s">
        <v>372</v>
      </c>
      <c r="B8" t="s">
        <v>122</v>
      </c>
      <c r="C8" t="s">
        <v>357</v>
      </c>
      <c r="D8">
        <v>1</v>
      </c>
    </row>
    <row r="9" spans="1:4" x14ac:dyDescent="0.25">
      <c r="A9" t="s">
        <v>373</v>
      </c>
      <c r="B9" t="s">
        <v>124</v>
      </c>
      <c r="C9" t="s">
        <v>358</v>
      </c>
      <c r="D9">
        <v>1</v>
      </c>
    </row>
    <row r="10" spans="1:4" x14ac:dyDescent="0.25">
      <c r="A10" t="s">
        <v>374</v>
      </c>
      <c r="B10" t="s">
        <v>11</v>
      </c>
      <c r="C10" t="s">
        <v>359</v>
      </c>
      <c r="D10">
        <v>1</v>
      </c>
    </row>
    <row r="11" spans="1:4" x14ac:dyDescent="0.25">
      <c r="A11" t="s">
        <v>375</v>
      </c>
      <c r="B11" t="s">
        <v>122</v>
      </c>
      <c r="C11" t="s">
        <v>360</v>
      </c>
      <c r="D11">
        <v>1</v>
      </c>
    </row>
    <row r="12" spans="1:4" x14ac:dyDescent="0.25">
      <c r="A12" t="s">
        <v>977</v>
      </c>
      <c r="B12" t="s">
        <v>11</v>
      </c>
      <c r="C12" t="s">
        <v>735</v>
      </c>
      <c r="D12">
        <v>1</v>
      </c>
    </row>
    <row r="13" spans="1:4" x14ac:dyDescent="0.25">
      <c r="A13" t="s">
        <v>978</v>
      </c>
      <c r="B13" t="s">
        <v>11</v>
      </c>
      <c r="C13" t="s">
        <v>737</v>
      </c>
      <c r="D13">
        <v>1</v>
      </c>
    </row>
    <row r="14" spans="1:4" x14ac:dyDescent="0.25">
      <c r="A14" t="s">
        <v>979</v>
      </c>
      <c r="B14" t="s">
        <v>11</v>
      </c>
      <c r="C14" t="s">
        <v>738</v>
      </c>
      <c r="D14">
        <v>1</v>
      </c>
    </row>
  </sheetData>
  <pageMargins left="0.7" right="0.7" top="0.78740157499999996" bottom="0.78740157499999996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23"/>
  <sheetViews>
    <sheetView workbookViewId="0">
      <selection activeCell="A15" sqref="A15"/>
    </sheetView>
  </sheetViews>
  <sheetFormatPr defaultRowHeight="15" x14ac:dyDescent="0.25"/>
  <cols>
    <col min="1" max="1" width="37" bestFit="1" customWidth="1"/>
    <col min="2" max="2" width="19" customWidth="1"/>
    <col min="3" max="3" width="38.28515625" bestFit="1" customWidth="1"/>
    <col min="4" max="4" width="38.28515625" customWidth="1"/>
    <col min="5" max="5" width="19.85546875" customWidth="1"/>
    <col min="6" max="6" width="36.85546875" bestFit="1" customWidth="1"/>
    <col min="7" max="7" width="35.140625" customWidth="1"/>
    <col min="8" max="8" width="39.140625" bestFit="1" customWidth="1"/>
  </cols>
  <sheetData>
    <row r="1" spans="1:7" x14ac:dyDescent="0.25">
      <c r="A1" t="s">
        <v>704</v>
      </c>
    </row>
    <row r="2" spans="1:7" x14ac:dyDescent="0.25">
      <c r="C2" t="s">
        <v>101</v>
      </c>
      <c r="D2" t="s">
        <v>101</v>
      </c>
      <c r="F2" t="s">
        <v>101</v>
      </c>
      <c r="G2" t="s">
        <v>101</v>
      </c>
    </row>
    <row r="3" spans="1:7" x14ac:dyDescent="0.25">
      <c r="A3" t="s">
        <v>0</v>
      </c>
      <c r="B3" t="s">
        <v>1</v>
      </c>
      <c r="C3" t="s">
        <v>698</v>
      </c>
      <c r="D3" t="s">
        <v>700</v>
      </c>
      <c r="E3" t="s">
        <v>701</v>
      </c>
      <c r="F3" t="s">
        <v>342</v>
      </c>
      <c r="G3" t="s">
        <v>135</v>
      </c>
    </row>
    <row r="4" spans="1:7" x14ac:dyDescent="0.25">
      <c r="A4" t="s">
        <v>703</v>
      </c>
      <c r="B4" t="s">
        <v>699</v>
      </c>
      <c r="C4" t="s">
        <v>145</v>
      </c>
      <c r="D4" t="s">
        <v>36</v>
      </c>
      <c r="E4" t="s">
        <v>702</v>
      </c>
      <c r="F4" t="s">
        <v>344</v>
      </c>
      <c r="G4" t="s">
        <v>98</v>
      </c>
    </row>
    <row r="5" spans="1:7" x14ac:dyDescent="0.25">
      <c r="A5" t="s">
        <v>714</v>
      </c>
      <c r="B5" t="s">
        <v>715</v>
      </c>
      <c r="C5" t="s">
        <v>145</v>
      </c>
      <c r="D5" t="s">
        <v>36</v>
      </c>
      <c r="E5" t="s">
        <v>716</v>
      </c>
      <c r="F5" t="s">
        <v>354</v>
      </c>
      <c r="G5" t="s">
        <v>98</v>
      </c>
    </row>
    <row r="6" spans="1:7" x14ac:dyDescent="0.25">
      <c r="A6" t="s">
        <v>717</v>
      </c>
      <c r="B6" t="s">
        <v>718</v>
      </c>
      <c r="C6" t="s">
        <v>145</v>
      </c>
      <c r="D6" t="s">
        <v>36</v>
      </c>
      <c r="E6" t="s">
        <v>719</v>
      </c>
      <c r="F6" t="s">
        <v>355</v>
      </c>
      <c r="G6" t="s">
        <v>98</v>
      </c>
    </row>
    <row r="7" spans="1:7" x14ac:dyDescent="0.25">
      <c r="A7" t="s">
        <v>720</v>
      </c>
      <c r="B7" t="s">
        <v>721</v>
      </c>
      <c r="C7" t="s">
        <v>145</v>
      </c>
      <c r="D7" t="s">
        <v>36</v>
      </c>
      <c r="E7" t="s">
        <v>722</v>
      </c>
      <c r="F7" t="s">
        <v>356</v>
      </c>
      <c r="G7" t="s">
        <v>98</v>
      </c>
    </row>
    <row r="8" spans="1:7" x14ac:dyDescent="0.25">
      <c r="A8" t="s">
        <v>723</v>
      </c>
      <c r="B8" t="s">
        <v>724</v>
      </c>
      <c r="C8" t="s">
        <v>145</v>
      </c>
      <c r="D8" t="s">
        <v>36</v>
      </c>
      <c r="E8" t="s">
        <v>725</v>
      </c>
      <c r="F8" t="s">
        <v>357</v>
      </c>
      <c r="G8" t="s">
        <v>98</v>
      </c>
    </row>
    <row r="9" spans="1:7" x14ac:dyDescent="0.25">
      <c r="A9" t="s">
        <v>726</v>
      </c>
      <c r="B9" t="s">
        <v>727</v>
      </c>
      <c r="C9" t="s">
        <v>145</v>
      </c>
      <c r="D9" t="s">
        <v>36</v>
      </c>
      <c r="E9" t="s">
        <v>728</v>
      </c>
      <c r="F9" t="s">
        <v>358</v>
      </c>
      <c r="G9" t="s">
        <v>98</v>
      </c>
    </row>
    <row r="10" spans="1:7" x14ac:dyDescent="0.25">
      <c r="A10" t="s">
        <v>729</v>
      </c>
      <c r="B10" t="s">
        <v>730</v>
      </c>
      <c r="C10" t="s">
        <v>145</v>
      </c>
      <c r="D10" t="s">
        <v>36</v>
      </c>
      <c r="E10" t="s">
        <v>731</v>
      </c>
      <c r="F10" t="s">
        <v>359</v>
      </c>
      <c r="G10" t="s">
        <v>98</v>
      </c>
    </row>
    <row r="11" spans="1:7" x14ac:dyDescent="0.25">
      <c r="A11" t="s">
        <v>732</v>
      </c>
      <c r="B11" t="s">
        <v>733</v>
      </c>
      <c r="C11" t="s">
        <v>145</v>
      </c>
      <c r="D11" t="s">
        <v>36</v>
      </c>
      <c r="E11" t="s">
        <v>734</v>
      </c>
      <c r="F11" t="s">
        <v>360</v>
      </c>
      <c r="G11" t="s">
        <v>98</v>
      </c>
    </row>
    <row r="12" spans="1:7" x14ac:dyDescent="0.25">
      <c r="A12" t="s">
        <v>741</v>
      </c>
      <c r="B12" t="s">
        <v>744</v>
      </c>
      <c r="C12" t="s">
        <v>145</v>
      </c>
      <c r="D12" t="s">
        <v>36</v>
      </c>
      <c r="E12" t="s">
        <v>747</v>
      </c>
      <c r="F12" t="s">
        <v>735</v>
      </c>
      <c r="G12" t="s">
        <v>98</v>
      </c>
    </row>
    <row r="13" spans="1:7" x14ac:dyDescent="0.25">
      <c r="A13" t="s">
        <v>742</v>
      </c>
      <c r="B13" t="s">
        <v>745</v>
      </c>
      <c r="C13" t="s">
        <v>145</v>
      </c>
      <c r="D13" t="s">
        <v>36</v>
      </c>
      <c r="E13" t="s">
        <v>748</v>
      </c>
      <c r="F13" t="s">
        <v>737</v>
      </c>
      <c r="G13" t="s">
        <v>98</v>
      </c>
    </row>
    <row r="14" spans="1:7" x14ac:dyDescent="0.25">
      <c r="A14" t="s">
        <v>743</v>
      </c>
      <c r="B14" t="s">
        <v>746</v>
      </c>
      <c r="C14" t="s">
        <v>145</v>
      </c>
      <c r="D14" t="s">
        <v>36</v>
      </c>
      <c r="E14" t="s">
        <v>749</v>
      </c>
      <c r="F14" t="s">
        <v>738</v>
      </c>
      <c r="G14" t="s">
        <v>98</v>
      </c>
    </row>
    <row r="21" spans="7:7" x14ac:dyDescent="0.25">
      <c r="G21" t="s">
        <v>711</v>
      </c>
    </row>
    <row r="22" spans="7:7" x14ac:dyDescent="0.25">
      <c r="G22" t="s">
        <v>712</v>
      </c>
    </row>
    <row r="23" spans="7:7" x14ac:dyDescent="0.25">
      <c r="G23" t="s">
        <v>713</v>
      </c>
    </row>
  </sheetData>
  <pageMargins left="0.7" right="0.7" top="0.75" bottom="0.75" header="0.3" footer="0.3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8"/>
  <sheetViews>
    <sheetView workbookViewId="0">
      <selection activeCell="A19" sqref="A19"/>
    </sheetView>
  </sheetViews>
  <sheetFormatPr defaultRowHeight="15" x14ac:dyDescent="0.25"/>
  <cols>
    <col min="1" max="1" width="38.28515625" customWidth="1"/>
    <col min="2" max="2" width="21" bestFit="1" customWidth="1"/>
    <col min="3" max="3" width="16.28515625" customWidth="1"/>
    <col min="4" max="4" width="17.28515625" customWidth="1"/>
  </cols>
  <sheetData>
    <row r="1" spans="1:5" x14ac:dyDescent="0.25">
      <c r="A1" t="s">
        <v>771</v>
      </c>
    </row>
    <row r="2" spans="1:5" x14ac:dyDescent="0.25">
      <c r="E2" s="6"/>
    </row>
    <row r="3" spans="1:5" x14ac:dyDescent="0.25">
      <c r="A3" t="s">
        <v>0</v>
      </c>
      <c r="B3" t="s">
        <v>2</v>
      </c>
      <c r="C3" t="s">
        <v>774</v>
      </c>
      <c r="D3" t="s">
        <v>775</v>
      </c>
      <c r="E3" s="6"/>
    </row>
    <row r="4" spans="1:5" x14ac:dyDescent="0.25">
      <c r="A4" t="s">
        <v>1213</v>
      </c>
      <c r="B4" t="s">
        <v>773</v>
      </c>
      <c r="C4" t="s">
        <v>98</v>
      </c>
      <c r="D4" t="s">
        <v>98</v>
      </c>
      <c r="E4" s="6"/>
    </row>
    <row r="5" spans="1:5" x14ac:dyDescent="0.25">
      <c r="A5" t="s">
        <v>772</v>
      </c>
      <c r="B5" t="s">
        <v>1214</v>
      </c>
      <c r="C5" t="s">
        <v>98</v>
      </c>
      <c r="D5" t="s">
        <v>98</v>
      </c>
      <c r="E5" s="6"/>
    </row>
    <row r="6" spans="1:5" x14ac:dyDescent="0.25">
      <c r="A6" t="s">
        <v>776</v>
      </c>
      <c r="B6" t="s">
        <v>1215</v>
      </c>
      <c r="C6" t="s">
        <v>98</v>
      </c>
      <c r="D6" t="s">
        <v>98</v>
      </c>
      <c r="E6" s="6"/>
    </row>
    <row r="7" spans="1:5" x14ac:dyDescent="0.25">
      <c r="A7" t="s">
        <v>1216</v>
      </c>
      <c r="B7" t="s">
        <v>1217</v>
      </c>
      <c r="C7" t="s">
        <v>98</v>
      </c>
      <c r="D7" t="s">
        <v>98</v>
      </c>
    </row>
    <row r="8" spans="1:5" x14ac:dyDescent="0.25">
      <c r="A8" t="s">
        <v>777</v>
      </c>
      <c r="B8" t="s">
        <v>1218</v>
      </c>
      <c r="C8" t="s">
        <v>98</v>
      </c>
      <c r="D8" t="s">
        <v>98</v>
      </c>
    </row>
    <row r="9" spans="1:5" x14ac:dyDescent="0.25">
      <c r="A9" t="s">
        <v>778</v>
      </c>
      <c r="B9" t="s">
        <v>1219</v>
      </c>
      <c r="C9" t="s">
        <v>98</v>
      </c>
      <c r="D9" t="s">
        <v>98</v>
      </c>
    </row>
    <row r="10" spans="1:5" x14ac:dyDescent="0.25">
      <c r="A10" t="s">
        <v>1113</v>
      </c>
      <c r="B10" t="s">
        <v>1220</v>
      </c>
      <c r="C10" t="s">
        <v>98</v>
      </c>
      <c r="D10" t="s">
        <v>98</v>
      </c>
    </row>
    <row r="11" spans="1:5" x14ac:dyDescent="0.25">
      <c r="A11" t="s">
        <v>1114</v>
      </c>
      <c r="B11" t="s">
        <v>1221</v>
      </c>
      <c r="C11" t="s">
        <v>98</v>
      </c>
      <c r="D11" t="s">
        <v>98</v>
      </c>
    </row>
    <row r="12" spans="1:5" x14ac:dyDescent="0.25">
      <c r="A12" t="s">
        <v>1115</v>
      </c>
      <c r="B12" t="s">
        <v>1222</v>
      </c>
      <c r="C12" t="s">
        <v>98</v>
      </c>
      <c r="D12" t="s">
        <v>98</v>
      </c>
    </row>
    <row r="13" spans="1:5" x14ac:dyDescent="0.25">
      <c r="A13" t="s">
        <v>1116</v>
      </c>
      <c r="B13" t="s">
        <v>1223</v>
      </c>
      <c r="C13" t="s">
        <v>98</v>
      </c>
      <c r="D13" t="s">
        <v>98</v>
      </c>
    </row>
    <row r="14" spans="1:5" x14ac:dyDescent="0.25">
      <c r="A14" t="s">
        <v>1224</v>
      </c>
      <c r="B14" t="s">
        <v>1225</v>
      </c>
      <c r="C14" t="s">
        <v>98</v>
      </c>
      <c r="D14" t="s">
        <v>98</v>
      </c>
    </row>
    <row r="15" spans="1:5" x14ac:dyDescent="0.25">
      <c r="A15" t="s">
        <v>1226</v>
      </c>
      <c r="B15" t="s">
        <v>1227</v>
      </c>
      <c r="C15" t="s">
        <v>98</v>
      </c>
      <c r="D15" t="s">
        <v>98</v>
      </c>
    </row>
    <row r="16" spans="1:5" x14ac:dyDescent="0.25">
      <c r="A16" t="s">
        <v>1228</v>
      </c>
      <c r="B16" t="s">
        <v>1229</v>
      </c>
      <c r="C16" t="s">
        <v>98</v>
      </c>
      <c r="D16" t="s">
        <v>98</v>
      </c>
    </row>
    <row r="17" spans="1:4" x14ac:dyDescent="0.25">
      <c r="A17" t="s">
        <v>1230</v>
      </c>
      <c r="B17" t="s">
        <v>1231</v>
      </c>
      <c r="C17" t="s">
        <v>98</v>
      </c>
      <c r="D17" t="s">
        <v>98</v>
      </c>
    </row>
    <row r="18" spans="1:4" x14ac:dyDescent="0.25">
      <c r="A18" t="s">
        <v>1232</v>
      </c>
      <c r="B18" t="s">
        <v>1233</v>
      </c>
      <c r="C18" t="s">
        <v>98</v>
      </c>
      <c r="D18" t="s">
        <v>98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7"/>
  <sheetViews>
    <sheetView workbookViewId="0">
      <selection activeCell="A18" sqref="A18"/>
    </sheetView>
  </sheetViews>
  <sheetFormatPr defaultRowHeight="15" x14ac:dyDescent="0.25"/>
  <cols>
    <col min="1" max="1" width="37.5703125" bestFit="1" customWidth="1"/>
    <col min="2" max="2" width="36.85546875" bestFit="1" customWidth="1"/>
    <col min="3" max="3" width="37.28515625" bestFit="1" customWidth="1"/>
  </cols>
  <sheetData>
    <row r="1" spans="1:3" x14ac:dyDescent="0.25">
      <c r="A1" t="s">
        <v>780</v>
      </c>
    </row>
    <row r="2" spans="1:3" x14ac:dyDescent="0.25">
      <c r="B2" t="s">
        <v>101</v>
      </c>
      <c r="C2" t="s">
        <v>101</v>
      </c>
    </row>
    <row r="3" spans="1:3" x14ac:dyDescent="0.25">
      <c r="A3" t="s">
        <v>0</v>
      </c>
      <c r="B3" t="s">
        <v>771</v>
      </c>
      <c r="C3" t="s">
        <v>782</v>
      </c>
    </row>
    <row r="4" spans="1:3" x14ac:dyDescent="0.25">
      <c r="A4" t="s">
        <v>781</v>
      </c>
      <c r="B4" t="s">
        <v>1213</v>
      </c>
      <c r="C4" t="s">
        <v>772</v>
      </c>
    </row>
    <row r="5" spans="1:3" x14ac:dyDescent="0.25">
      <c r="A5" t="s">
        <v>783</v>
      </c>
      <c r="B5" t="s">
        <v>1213</v>
      </c>
      <c r="C5" t="s">
        <v>776</v>
      </c>
    </row>
    <row r="6" spans="1:3" x14ac:dyDescent="0.25">
      <c r="A6" t="s">
        <v>784</v>
      </c>
      <c r="B6" t="s">
        <v>1213</v>
      </c>
      <c r="C6" t="s">
        <v>1216</v>
      </c>
    </row>
    <row r="7" spans="1:3" x14ac:dyDescent="0.25">
      <c r="A7" t="s">
        <v>1117</v>
      </c>
      <c r="B7" t="s">
        <v>1213</v>
      </c>
      <c r="C7" t="s">
        <v>777</v>
      </c>
    </row>
    <row r="8" spans="1:3" x14ac:dyDescent="0.25">
      <c r="A8" t="s">
        <v>1118</v>
      </c>
      <c r="B8" t="s">
        <v>1213</v>
      </c>
      <c r="C8" t="s">
        <v>778</v>
      </c>
    </row>
    <row r="9" spans="1:3" x14ac:dyDescent="0.25">
      <c r="A9" t="s">
        <v>1119</v>
      </c>
      <c r="B9" t="s">
        <v>1213</v>
      </c>
      <c r="C9" t="s">
        <v>1113</v>
      </c>
    </row>
    <row r="10" spans="1:3" x14ac:dyDescent="0.25">
      <c r="A10" t="s">
        <v>1120</v>
      </c>
      <c r="B10" t="s">
        <v>1213</v>
      </c>
      <c r="C10" t="s">
        <v>1114</v>
      </c>
    </row>
    <row r="11" spans="1:3" x14ac:dyDescent="0.25">
      <c r="A11" t="s">
        <v>1234</v>
      </c>
      <c r="B11" t="s">
        <v>1213</v>
      </c>
      <c r="C11" t="s">
        <v>1115</v>
      </c>
    </row>
    <row r="12" spans="1:3" x14ac:dyDescent="0.25">
      <c r="A12" t="s">
        <v>1235</v>
      </c>
      <c r="B12" t="s">
        <v>1213</v>
      </c>
      <c r="C12" t="s">
        <v>1116</v>
      </c>
    </row>
    <row r="13" spans="1:3" x14ac:dyDescent="0.25">
      <c r="A13" t="s">
        <v>1236</v>
      </c>
      <c r="B13" t="s">
        <v>1213</v>
      </c>
      <c r="C13" t="s">
        <v>1224</v>
      </c>
    </row>
    <row r="14" spans="1:3" x14ac:dyDescent="0.25">
      <c r="A14" t="s">
        <v>1237</v>
      </c>
      <c r="B14" t="s">
        <v>1213</v>
      </c>
      <c r="C14" t="s">
        <v>1226</v>
      </c>
    </row>
    <row r="15" spans="1:3" x14ac:dyDescent="0.25">
      <c r="A15" t="s">
        <v>1238</v>
      </c>
      <c r="B15" t="s">
        <v>1213</v>
      </c>
      <c r="C15" t="s">
        <v>1228</v>
      </c>
    </row>
    <row r="16" spans="1:3" x14ac:dyDescent="0.25">
      <c r="A16" t="s">
        <v>1239</v>
      </c>
      <c r="B16" t="s">
        <v>1213</v>
      </c>
      <c r="C16" t="s">
        <v>1230</v>
      </c>
    </row>
    <row r="17" spans="1:3" x14ac:dyDescent="0.25">
      <c r="A17" t="s">
        <v>1240</v>
      </c>
      <c r="B17" t="s">
        <v>1213</v>
      </c>
      <c r="C17" t="s">
        <v>1232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80"/>
  <sheetViews>
    <sheetView topLeftCell="A61" workbookViewId="0">
      <selection activeCell="A81" sqref="A81"/>
    </sheetView>
  </sheetViews>
  <sheetFormatPr defaultRowHeight="15" x14ac:dyDescent="0.25"/>
  <cols>
    <col min="1" max="1" width="37" bestFit="1" customWidth="1"/>
    <col min="2" max="2" width="12.140625" customWidth="1"/>
    <col min="3" max="3" width="19.28515625" customWidth="1"/>
    <col min="4" max="4" width="18.28515625" customWidth="1"/>
    <col min="5" max="5" width="22" customWidth="1"/>
    <col min="6" max="6" width="12.5703125" bestFit="1" customWidth="1"/>
    <col min="7" max="7" width="17.28515625" bestFit="1" customWidth="1"/>
    <col min="8" max="8" width="20.140625" bestFit="1" customWidth="1"/>
    <col min="9" max="9" width="20.7109375" bestFit="1" customWidth="1"/>
    <col min="10" max="10" width="21.85546875" bestFit="1" customWidth="1"/>
  </cols>
  <sheetData>
    <row r="1" spans="1:10" x14ac:dyDescent="0.25">
      <c r="A1" t="s">
        <v>789</v>
      </c>
    </row>
    <row r="3" spans="1:10" x14ac:dyDescent="0.25">
      <c r="A3" t="s">
        <v>0</v>
      </c>
      <c r="B3" t="s">
        <v>1</v>
      </c>
      <c r="C3" t="s">
        <v>194</v>
      </c>
      <c r="D3" t="s">
        <v>791</v>
      </c>
      <c r="E3" t="s">
        <v>797</v>
      </c>
      <c r="F3" t="s">
        <v>792</v>
      </c>
      <c r="G3" t="s">
        <v>793</v>
      </c>
      <c r="H3" t="s">
        <v>794</v>
      </c>
      <c r="I3" t="s">
        <v>795</v>
      </c>
      <c r="J3" t="s">
        <v>796</v>
      </c>
    </row>
    <row r="4" spans="1:10" x14ac:dyDescent="0.25">
      <c r="A4" t="s">
        <v>790</v>
      </c>
      <c r="C4" t="s">
        <v>1471</v>
      </c>
      <c r="D4">
        <v>0</v>
      </c>
      <c r="E4">
        <v>64</v>
      </c>
      <c r="F4">
        <v>1</v>
      </c>
      <c r="G4">
        <v>1</v>
      </c>
      <c r="H4">
        <v>6</v>
      </c>
      <c r="I4">
        <v>1</v>
      </c>
      <c r="J4">
        <v>1</v>
      </c>
    </row>
    <row r="5" spans="1:10" x14ac:dyDescent="0.25">
      <c r="A5" t="s">
        <v>1472</v>
      </c>
      <c r="C5" t="s">
        <v>1473</v>
      </c>
      <c r="D5">
        <v>0</v>
      </c>
      <c r="E5">
        <v>8</v>
      </c>
      <c r="F5">
        <v>62</v>
      </c>
      <c r="G5">
        <v>1</v>
      </c>
      <c r="H5">
        <v>6</v>
      </c>
      <c r="I5">
        <v>1</v>
      </c>
      <c r="J5">
        <v>1</v>
      </c>
    </row>
    <row r="6" spans="1:10" x14ac:dyDescent="0.25">
      <c r="A6" t="s">
        <v>1474</v>
      </c>
      <c r="C6" t="s">
        <v>1473</v>
      </c>
      <c r="D6">
        <v>0</v>
      </c>
      <c r="E6">
        <v>8</v>
      </c>
      <c r="F6">
        <v>62</v>
      </c>
      <c r="G6">
        <v>1</v>
      </c>
      <c r="H6">
        <v>6</v>
      </c>
      <c r="I6">
        <v>1</v>
      </c>
      <c r="J6">
        <v>1</v>
      </c>
    </row>
    <row r="7" spans="1:10" x14ac:dyDescent="0.25">
      <c r="A7" t="s">
        <v>1475</v>
      </c>
      <c r="C7" t="s">
        <v>1476</v>
      </c>
      <c r="D7">
        <v>0</v>
      </c>
      <c r="E7">
        <v>8</v>
      </c>
      <c r="F7">
        <v>2</v>
      </c>
      <c r="G7">
        <v>1</v>
      </c>
      <c r="H7">
        <v>6</v>
      </c>
      <c r="I7">
        <v>1</v>
      </c>
      <c r="J7">
        <v>1</v>
      </c>
    </row>
    <row r="8" spans="1:10" x14ac:dyDescent="0.25">
      <c r="A8" t="s">
        <v>1477</v>
      </c>
      <c r="C8" t="s">
        <v>1476</v>
      </c>
      <c r="D8">
        <v>0</v>
      </c>
      <c r="E8">
        <v>8</v>
      </c>
      <c r="F8">
        <v>2</v>
      </c>
      <c r="G8">
        <v>1</v>
      </c>
      <c r="H8">
        <v>6</v>
      </c>
      <c r="I8">
        <v>1</v>
      </c>
      <c r="J8">
        <v>1</v>
      </c>
    </row>
    <row r="9" spans="1:10" x14ac:dyDescent="0.25">
      <c r="A9" t="s">
        <v>1478</v>
      </c>
      <c r="C9" t="s">
        <v>1476</v>
      </c>
      <c r="D9">
        <v>0</v>
      </c>
      <c r="E9">
        <v>8</v>
      </c>
      <c r="F9">
        <v>2</v>
      </c>
      <c r="G9">
        <v>1</v>
      </c>
      <c r="H9">
        <v>6</v>
      </c>
      <c r="I9">
        <v>1</v>
      </c>
      <c r="J9">
        <v>1</v>
      </c>
    </row>
    <row r="10" spans="1:10" x14ac:dyDescent="0.25">
      <c r="A10" t="s">
        <v>1479</v>
      </c>
      <c r="C10" t="s">
        <v>1473</v>
      </c>
      <c r="D10">
        <v>0</v>
      </c>
      <c r="E10">
        <v>8</v>
      </c>
      <c r="F10">
        <v>62</v>
      </c>
      <c r="G10">
        <v>1</v>
      </c>
      <c r="H10">
        <v>6</v>
      </c>
      <c r="I10">
        <v>1</v>
      </c>
      <c r="J10">
        <v>1</v>
      </c>
    </row>
    <row r="11" spans="1:10" x14ac:dyDescent="0.25">
      <c r="A11" t="s">
        <v>1480</v>
      </c>
      <c r="C11" t="s">
        <v>1473</v>
      </c>
      <c r="D11">
        <v>0</v>
      </c>
      <c r="E11">
        <v>8</v>
      </c>
      <c r="F11">
        <v>62</v>
      </c>
      <c r="G11">
        <v>1</v>
      </c>
      <c r="H11">
        <v>6</v>
      </c>
      <c r="I11">
        <v>1</v>
      </c>
      <c r="J11">
        <v>1</v>
      </c>
    </row>
    <row r="12" spans="1:10" x14ac:dyDescent="0.25">
      <c r="A12" t="s">
        <v>1481</v>
      </c>
      <c r="C12" t="s">
        <v>1468</v>
      </c>
      <c r="D12">
        <v>0</v>
      </c>
      <c r="E12">
        <v>16</v>
      </c>
      <c r="F12">
        <v>32</v>
      </c>
      <c r="G12">
        <v>1</v>
      </c>
      <c r="H12">
        <v>6</v>
      </c>
      <c r="I12">
        <v>1</v>
      </c>
      <c r="J12">
        <v>1</v>
      </c>
    </row>
    <row r="13" spans="1:10" x14ac:dyDescent="0.25">
      <c r="A13" t="s">
        <v>1482</v>
      </c>
      <c r="C13" t="s">
        <v>1468</v>
      </c>
      <c r="D13">
        <v>0</v>
      </c>
      <c r="E13">
        <v>16</v>
      </c>
      <c r="F13">
        <v>32</v>
      </c>
      <c r="G13">
        <v>1</v>
      </c>
      <c r="H13">
        <v>6</v>
      </c>
      <c r="I13">
        <v>1</v>
      </c>
      <c r="J13">
        <v>1</v>
      </c>
    </row>
    <row r="14" spans="1:10" x14ac:dyDescent="0.25">
      <c r="A14" t="s">
        <v>1483</v>
      </c>
      <c r="C14" t="s">
        <v>1484</v>
      </c>
      <c r="D14">
        <v>0</v>
      </c>
      <c r="E14">
        <v>16</v>
      </c>
      <c r="F14">
        <v>32</v>
      </c>
      <c r="G14">
        <v>1</v>
      </c>
      <c r="H14">
        <v>6</v>
      </c>
      <c r="I14">
        <v>1</v>
      </c>
      <c r="J14">
        <v>6</v>
      </c>
    </row>
    <row r="15" spans="1:10" x14ac:dyDescent="0.25">
      <c r="A15" t="s">
        <v>1485</v>
      </c>
      <c r="C15" t="s">
        <v>1476</v>
      </c>
      <c r="D15">
        <v>0</v>
      </c>
      <c r="E15">
        <v>8</v>
      </c>
      <c r="F15">
        <v>2</v>
      </c>
      <c r="G15">
        <v>1</v>
      </c>
      <c r="H15">
        <v>6</v>
      </c>
      <c r="I15">
        <v>1</v>
      </c>
      <c r="J15">
        <v>1</v>
      </c>
    </row>
    <row r="16" spans="1:10" x14ac:dyDescent="0.25">
      <c r="A16" t="s">
        <v>1486</v>
      </c>
      <c r="C16" t="s">
        <v>1468</v>
      </c>
      <c r="D16">
        <v>0</v>
      </c>
      <c r="E16">
        <v>16</v>
      </c>
      <c r="F16">
        <v>32</v>
      </c>
      <c r="G16">
        <v>1</v>
      </c>
      <c r="H16">
        <v>6</v>
      </c>
      <c r="I16">
        <v>1</v>
      </c>
      <c r="J16">
        <v>1</v>
      </c>
    </row>
    <row r="17" spans="1:10" x14ac:dyDescent="0.25">
      <c r="A17" t="s">
        <v>1487</v>
      </c>
      <c r="C17" t="s">
        <v>1473</v>
      </c>
      <c r="D17">
        <v>0</v>
      </c>
      <c r="E17">
        <v>8</v>
      </c>
      <c r="F17">
        <v>62</v>
      </c>
      <c r="G17">
        <v>1</v>
      </c>
      <c r="H17">
        <v>6</v>
      </c>
      <c r="I17">
        <v>1</v>
      </c>
      <c r="J17">
        <v>1</v>
      </c>
    </row>
    <row r="18" spans="1:10" x14ac:dyDescent="0.25">
      <c r="A18" t="s">
        <v>1488</v>
      </c>
      <c r="C18" t="s">
        <v>1489</v>
      </c>
      <c r="D18">
        <v>0</v>
      </c>
      <c r="E18">
        <v>8</v>
      </c>
      <c r="F18">
        <v>8</v>
      </c>
      <c r="G18">
        <v>1</v>
      </c>
      <c r="H18">
        <v>6</v>
      </c>
      <c r="I18">
        <v>1</v>
      </c>
      <c r="J18">
        <v>1</v>
      </c>
    </row>
    <row r="19" spans="1:10" x14ac:dyDescent="0.25">
      <c r="A19" t="s">
        <v>1490</v>
      </c>
      <c r="C19" t="s">
        <v>1473</v>
      </c>
      <c r="D19">
        <v>0</v>
      </c>
      <c r="E19">
        <v>8</v>
      </c>
      <c r="F19">
        <v>62</v>
      </c>
      <c r="G19">
        <v>1</v>
      </c>
      <c r="H19">
        <v>6</v>
      </c>
      <c r="I19">
        <v>1</v>
      </c>
      <c r="J19">
        <v>1</v>
      </c>
    </row>
    <row r="20" spans="1:10" x14ac:dyDescent="0.25">
      <c r="A20" t="s">
        <v>1491</v>
      </c>
      <c r="C20" t="s">
        <v>1473</v>
      </c>
      <c r="D20">
        <v>0</v>
      </c>
      <c r="E20">
        <v>8</v>
      </c>
      <c r="F20">
        <v>62</v>
      </c>
      <c r="G20">
        <v>1</v>
      </c>
      <c r="H20">
        <v>6</v>
      </c>
      <c r="I20">
        <v>1</v>
      </c>
      <c r="J20">
        <v>1</v>
      </c>
    </row>
    <row r="21" spans="1:10" x14ac:dyDescent="0.25">
      <c r="A21" t="s">
        <v>1492</v>
      </c>
      <c r="C21" t="s">
        <v>1493</v>
      </c>
      <c r="D21">
        <v>0</v>
      </c>
      <c r="E21">
        <v>8</v>
      </c>
      <c r="F21">
        <v>32</v>
      </c>
      <c r="G21">
        <v>1</v>
      </c>
      <c r="H21">
        <v>6</v>
      </c>
      <c r="I21">
        <v>1</v>
      </c>
      <c r="J21">
        <v>1</v>
      </c>
    </row>
    <row r="22" spans="1:10" x14ac:dyDescent="0.25">
      <c r="A22" t="s">
        <v>1494</v>
      </c>
      <c r="C22" t="s">
        <v>1473</v>
      </c>
      <c r="D22">
        <v>0</v>
      </c>
      <c r="E22">
        <v>8</v>
      </c>
      <c r="F22">
        <v>62</v>
      </c>
      <c r="G22">
        <v>1</v>
      </c>
      <c r="H22">
        <v>6</v>
      </c>
      <c r="I22">
        <v>1</v>
      </c>
      <c r="J22">
        <v>1</v>
      </c>
    </row>
    <row r="23" spans="1:10" x14ac:dyDescent="0.25">
      <c r="A23" t="s">
        <v>1495</v>
      </c>
      <c r="C23" t="s">
        <v>1473</v>
      </c>
      <c r="D23">
        <v>0</v>
      </c>
      <c r="E23">
        <v>8</v>
      </c>
      <c r="F23">
        <v>62</v>
      </c>
      <c r="G23">
        <v>1</v>
      </c>
      <c r="H23">
        <v>6</v>
      </c>
      <c r="I23">
        <v>1</v>
      </c>
      <c r="J23">
        <v>1</v>
      </c>
    </row>
    <row r="24" spans="1:10" x14ac:dyDescent="0.25">
      <c r="A24" t="s">
        <v>1496</v>
      </c>
      <c r="C24" t="s">
        <v>1468</v>
      </c>
      <c r="D24">
        <v>0</v>
      </c>
      <c r="E24">
        <v>16</v>
      </c>
      <c r="F24">
        <v>32</v>
      </c>
      <c r="G24">
        <v>1</v>
      </c>
      <c r="H24">
        <v>6</v>
      </c>
      <c r="I24">
        <v>1</v>
      </c>
      <c r="J24">
        <v>1</v>
      </c>
    </row>
    <row r="25" spans="1:10" x14ac:dyDescent="0.25">
      <c r="A25" t="s">
        <v>1497</v>
      </c>
      <c r="C25" t="s">
        <v>1489</v>
      </c>
      <c r="D25">
        <v>0</v>
      </c>
      <c r="E25">
        <v>8</v>
      </c>
      <c r="F25">
        <v>8</v>
      </c>
      <c r="G25">
        <v>1</v>
      </c>
      <c r="H25">
        <v>6</v>
      </c>
      <c r="I25">
        <v>1</v>
      </c>
      <c r="J25">
        <v>1</v>
      </c>
    </row>
    <row r="26" spans="1:10" x14ac:dyDescent="0.25">
      <c r="A26" t="s">
        <v>1498</v>
      </c>
      <c r="C26" t="s">
        <v>1468</v>
      </c>
      <c r="D26">
        <v>0</v>
      </c>
      <c r="E26">
        <v>16</v>
      </c>
      <c r="F26">
        <v>32</v>
      </c>
      <c r="G26">
        <v>1</v>
      </c>
      <c r="H26">
        <v>6</v>
      </c>
      <c r="I26">
        <v>1</v>
      </c>
      <c r="J26">
        <v>1</v>
      </c>
    </row>
    <row r="27" spans="1:10" x14ac:dyDescent="0.25">
      <c r="A27" t="s">
        <v>1499</v>
      </c>
      <c r="C27" t="s">
        <v>1468</v>
      </c>
      <c r="D27">
        <v>0</v>
      </c>
      <c r="E27">
        <v>16</v>
      </c>
      <c r="F27">
        <v>32</v>
      </c>
      <c r="G27">
        <v>1</v>
      </c>
      <c r="H27">
        <v>6</v>
      </c>
      <c r="I27">
        <v>1</v>
      </c>
      <c r="J27">
        <v>1</v>
      </c>
    </row>
    <row r="28" spans="1:10" x14ac:dyDescent="0.25">
      <c r="A28" t="s">
        <v>1500</v>
      </c>
      <c r="C28" t="s">
        <v>1468</v>
      </c>
      <c r="D28">
        <v>0</v>
      </c>
      <c r="E28">
        <v>16</v>
      </c>
      <c r="F28">
        <v>32</v>
      </c>
      <c r="G28">
        <v>1</v>
      </c>
      <c r="H28">
        <v>6</v>
      </c>
      <c r="I28">
        <v>1</v>
      </c>
      <c r="J28">
        <v>1</v>
      </c>
    </row>
    <row r="29" spans="1:10" x14ac:dyDescent="0.25">
      <c r="A29" t="s">
        <v>1501</v>
      </c>
      <c r="C29" t="s">
        <v>1493</v>
      </c>
      <c r="D29">
        <v>0</v>
      </c>
      <c r="E29">
        <v>8</v>
      </c>
      <c r="F29">
        <v>32</v>
      </c>
      <c r="G29">
        <v>1</v>
      </c>
      <c r="H29">
        <v>6</v>
      </c>
      <c r="I29">
        <v>1</v>
      </c>
      <c r="J29">
        <v>1</v>
      </c>
    </row>
    <row r="30" spans="1:10" x14ac:dyDescent="0.25">
      <c r="A30" t="s">
        <v>1502</v>
      </c>
      <c r="C30" t="s">
        <v>1473</v>
      </c>
      <c r="D30">
        <v>0</v>
      </c>
      <c r="E30">
        <v>8</v>
      </c>
      <c r="F30">
        <v>62</v>
      </c>
      <c r="G30">
        <v>1</v>
      </c>
      <c r="H30">
        <v>6</v>
      </c>
      <c r="I30">
        <v>1</v>
      </c>
      <c r="J30">
        <v>1</v>
      </c>
    </row>
    <row r="31" spans="1:10" x14ac:dyDescent="0.25">
      <c r="A31" t="s">
        <v>1503</v>
      </c>
      <c r="C31" t="s">
        <v>1468</v>
      </c>
      <c r="D31">
        <v>0</v>
      </c>
      <c r="E31">
        <v>16</v>
      </c>
      <c r="F31">
        <v>32</v>
      </c>
      <c r="G31">
        <v>1</v>
      </c>
      <c r="H31">
        <v>6</v>
      </c>
      <c r="I31">
        <v>1</v>
      </c>
      <c r="J31">
        <v>1</v>
      </c>
    </row>
    <row r="32" spans="1:10" x14ac:dyDescent="0.25">
      <c r="A32" t="s">
        <v>1504</v>
      </c>
      <c r="C32" t="s">
        <v>1468</v>
      </c>
      <c r="D32">
        <v>0</v>
      </c>
      <c r="E32">
        <v>16</v>
      </c>
      <c r="F32">
        <v>32</v>
      </c>
      <c r="G32">
        <v>1</v>
      </c>
      <c r="H32">
        <v>6</v>
      </c>
      <c r="I32">
        <v>1</v>
      </c>
      <c r="J32">
        <v>1</v>
      </c>
    </row>
    <row r="33" spans="1:10" x14ac:dyDescent="0.25">
      <c r="A33" t="s">
        <v>1505</v>
      </c>
      <c r="C33" t="s">
        <v>1489</v>
      </c>
      <c r="D33">
        <v>0</v>
      </c>
      <c r="E33">
        <v>8</v>
      </c>
      <c r="F33">
        <v>8</v>
      </c>
      <c r="G33">
        <v>1</v>
      </c>
      <c r="H33">
        <v>6</v>
      </c>
      <c r="I33">
        <v>1</v>
      </c>
      <c r="J33">
        <v>1</v>
      </c>
    </row>
    <row r="34" spans="1:10" x14ac:dyDescent="0.25">
      <c r="A34" t="s">
        <v>1506</v>
      </c>
      <c r="C34" t="s">
        <v>1489</v>
      </c>
      <c r="D34">
        <v>0</v>
      </c>
      <c r="E34">
        <v>8</v>
      </c>
      <c r="F34">
        <v>8</v>
      </c>
      <c r="G34">
        <v>1</v>
      </c>
      <c r="H34">
        <v>6</v>
      </c>
      <c r="I34">
        <v>1</v>
      </c>
      <c r="J34">
        <v>1</v>
      </c>
    </row>
    <row r="35" spans="1:10" x14ac:dyDescent="0.25">
      <c r="A35" t="s">
        <v>1507</v>
      </c>
      <c r="C35" t="s">
        <v>1484</v>
      </c>
      <c r="D35">
        <v>0</v>
      </c>
      <c r="E35">
        <v>16</v>
      </c>
      <c r="F35">
        <v>32</v>
      </c>
      <c r="G35">
        <v>1</v>
      </c>
      <c r="H35">
        <v>6</v>
      </c>
      <c r="I35">
        <v>1</v>
      </c>
      <c r="J35">
        <v>6</v>
      </c>
    </row>
    <row r="36" spans="1:10" x14ac:dyDescent="0.25">
      <c r="A36" t="s">
        <v>1508</v>
      </c>
      <c r="C36" t="s">
        <v>1471</v>
      </c>
      <c r="D36">
        <v>0</v>
      </c>
      <c r="E36">
        <v>64</v>
      </c>
      <c r="F36">
        <v>1</v>
      </c>
      <c r="G36">
        <v>1</v>
      </c>
      <c r="H36">
        <v>6</v>
      </c>
      <c r="I36">
        <v>1</v>
      </c>
      <c r="J36">
        <v>1</v>
      </c>
    </row>
    <row r="37" spans="1:10" x14ac:dyDescent="0.25">
      <c r="A37" t="s">
        <v>1509</v>
      </c>
      <c r="C37" t="s">
        <v>1489</v>
      </c>
      <c r="D37">
        <v>0</v>
      </c>
      <c r="E37">
        <v>8</v>
      </c>
      <c r="F37">
        <v>8</v>
      </c>
      <c r="G37">
        <v>1</v>
      </c>
      <c r="H37">
        <v>6</v>
      </c>
      <c r="I37">
        <v>1</v>
      </c>
      <c r="J37">
        <v>1</v>
      </c>
    </row>
    <row r="38" spans="1:10" x14ac:dyDescent="0.25">
      <c r="A38" t="s">
        <v>1510</v>
      </c>
      <c r="C38" t="s">
        <v>1484</v>
      </c>
      <c r="D38">
        <v>0</v>
      </c>
      <c r="E38">
        <v>16</v>
      </c>
      <c r="F38">
        <v>32</v>
      </c>
      <c r="G38">
        <v>1</v>
      </c>
      <c r="H38">
        <v>6</v>
      </c>
      <c r="I38">
        <v>1</v>
      </c>
      <c r="J38">
        <v>6</v>
      </c>
    </row>
    <row r="39" spans="1:10" x14ac:dyDescent="0.25">
      <c r="A39" t="s">
        <v>1511</v>
      </c>
      <c r="C39" t="s">
        <v>1468</v>
      </c>
      <c r="D39">
        <v>0</v>
      </c>
      <c r="E39">
        <v>16</v>
      </c>
      <c r="F39">
        <v>32</v>
      </c>
      <c r="G39">
        <v>1</v>
      </c>
      <c r="H39">
        <v>6</v>
      </c>
      <c r="I39">
        <v>1</v>
      </c>
      <c r="J39">
        <v>1</v>
      </c>
    </row>
    <row r="40" spans="1:10" x14ac:dyDescent="0.25">
      <c r="A40" t="s">
        <v>1512</v>
      </c>
      <c r="C40" t="s">
        <v>1493</v>
      </c>
      <c r="D40">
        <v>0</v>
      </c>
      <c r="E40">
        <v>8</v>
      </c>
      <c r="F40">
        <v>32</v>
      </c>
      <c r="G40">
        <v>1</v>
      </c>
      <c r="H40">
        <v>6</v>
      </c>
      <c r="I40">
        <v>1</v>
      </c>
      <c r="J40">
        <v>1</v>
      </c>
    </row>
    <row r="41" spans="1:10" x14ac:dyDescent="0.25">
      <c r="A41" t="s">
        <v>1513</v>
      </c>
      <c r="C41" t="s">
        <v>1493</v>
      </c>
      <c r="D41">
        <v>0</v>
      </c>
      <c r="E41">
        <v>8</v>
      </c>
      <c r="F41">
        <v>32</v>
      </c>
      <c r="G41">
        <v>1</v>
      </c>
      <c r="H41">
        <v>6</v>
      </c>
      <c r="I41">
        <v>1</v>
      </c>
      <c r="J41">
        <v>1</v>
      </c>
    </row>
    <row r="42" spans="1:10" x14ac:dyDescent="0.25">
      <c r="A42" t="s">
        <v>1514</v>
      </c>
      <c r="C42" t="s">
        <v>1493</v>
      </c>
      <c r="D42">
        <v>0</v>
      </c>
      <c r="E42">
        <v>8</v>
      </c>
      <c r="F42">
        <v>32</v>
      </c>
      <c r="G42">
        <v>1</v>
      </c>
      <c r="H42">
        <v>6</v>
      </c>
      <c r="I42">
        <v>1</v>
      </c>
      <c r="J42">
        <v>1</v>
      </c>
    </row>
    <row r="43" spans="1:10" x14ac:dyDescent="0.25">
      <c r="A43" t="s">
        <v>1515</v>
      </c>
      <c r="C43" t="s">
        <v>1468</v>
      </c>
      <c r="D43">
        <v>0</v>
      </c>
      <c r="E43">
        <v>16</v>
      </c>
      <c r="F43">
        <v>32</v>
      </c>
      <c r="G43">
        <v>1</v>
      </c>
      <c r="H43">
        <v>6</v>
      </c>
      <c r="I43">
        <v>1</v>
      </c>
      <c r="J43">
        <v>1</v>
      </c>
    </row>
    <row r="44" spans="1:10" x14ac:dyDescent="0.25">
      <c r="A44" t="s">
        <v>1516</v>
      </c>
      <c r="C44" t="s">
        <v>1484</v>
      </c>
      <c r="D44">
        <v>0</v>
      </c>
      <c r="E44">
        <v>16</v>
      </c>
      <c r="F44">
        <v>32</v>
      </c>
      <c r="G44">
        <v>1</v>
      </c>
      <c r="H44">
        <v>6</v>
      </c>
      <c r="I44">
        <v>1</v>
      </c>
      <c r="J44">
        <v>6</v>
      </c>
    </row>
    <row r="45" spans="1:10" x14ac:dyDescent="0.25">
      <c r="A45" t="s">
        <v>1517</v>
      </c>
      <c r="C45" t="s">
        <v>1468</v>
      </c>
      <c r="D45">
        <v>0</v>
      </c>
      <c r="E45">
        <v>16</v>
      </c>
      <c r="F45">
        <v>32</v>
      </c>
      <c r="G45">
        <v>1</v>
      </c>
      <c r="H45">
        <v>6</v>
      </c>
      <c r="I45">
        <v>1</v>
      </c>
      <c r="J45">
        <v>1</v>
      </c>
    </row>
    <row r="46" spans="1:10" x14ac:dyDescent="0.25">
      <c r="A46" t="s">
        <v>1518</v>
      </c>
      <c r="C46" t="s">
        <v>1468</v>
      </c>
      <c r="D46">
        <v>0</v>
      </c>
      <c r="E46">
        <v>16</v>
      </c>
      <c r="F46">
        <v>32</v>
      </c>
      <c r="G46">
        <v>1</v>
      </c>
      <c r="H46">
        <v>6</v>
      </c>
      <c r="I46">
        <v>1</v>
      </c>
      <c r="J46">
        <v>1</v>
      </c>
    </row>
    <row r="47" spans="1:10" x14ac:dyDescent="0.25">
      <c r="A47" t="s">
        <v>1519</v>
      </c>
      <c r="C47" t="s">
        <v>1468</v>
      </c>
      <c r="D47">
        <v>0</v>
      </c>
      <c r="E47">
        <v>16</v>
      </c>
      <c r="F47">
        <v>32</v>
      </c>
      <c r="G47">
        <v>1</v>
      </c>
      <c r="H47">
        <v>6</v>
      </c>
      <c r="I47">
        <v>1</v>
      </c>
      <c r="J47">
        <v>1</v>
      </c>
    </row>
    <row r="48" spans="1:10" x14ac:dyDescent="0.25">
      <c r="A48" t="s">
        <v>1520</v>
      </c>
      <c r="C48" t="s">
        <v>1484</v>
      </c>
      <c r="D48">
        <v>0</v>
      </c>
      <c r="E48">
        <v>16</v>
      </c>
      <c r="F48">
        <v>32</v>
      </c>
      <c r="G48">
        <v>1</v>
      </c>
      <c r="H48">
        <v>6</v>
      </c>
      <c r="I48">
        <v>1</v>
      </c>
      <c r="J48">
        <v>6</v>
      </c>
    </row>
    <row r="49" spans="1:10" x14ac:dyDescent="0.25">
      <c r="A49" t="s">
        <v>1521</v>
      </c>
      <c r="C49" t="s">
        <v>1493</v>
      </c>
      <c r="D49">
        <v>0</v>
      </c>
      <c r="E49">
        <v>8</v>
      </c>
      <c r="F49">
        <v>32</v>
      </c>
      <c r="G49">
        <v>1</v>
      </c>
      <c r="H49">
        <v>6</v>
      </c>
      <c r="I49">
        <v>1</v>
      </c>
      <c r="J49">
        <v>1</v>
      </c>
    </row>
    <row r="50" spans="1:10" x14ac:dyDescent="0.25">
      <c r="A50" t="s">
        <v>1522</v>
      </c>
      <c r="C50" t="s">
        <v>1468</v>
      </c>
      <c r="D50">
        <v>0</v>
      </c>
      <c r="E50">
        <v>16</v>
      </c>
      <c r="F50">
        <v>32</v>
      </c>
      <c r="G50">
        <v>1</v>
      </c>
      <c r="H50">
        <v>6</v>
      </c>
      <c r="I50">
        <v>1</v>
      </c>
      <c r="J50">
        <v>1</v>
      </c>
    </row>
    <row r="51" spans="1:10" x14ac:dyDescent="0.25">
      <c r="A51" t="s">
        <v>1523</v>
      </c>
      <c r="C51" t="s">
        <v>1468</v>
      </c>
      <c r="D51">
        <v>0</v>
      </c>
      <c r="E51">
        <v>16</v>
      </c>
      <c r="F51">
        <v>32</v>
      </c>
      <c r="G51">
        <v>1</v>
      </c>
      <c r="H51">
        <v>6</v>
      </c>
      <c r="I51">
        <v>1</v>
      </c>
      <c r="J51">
        <v>1</v>
      </c>
    </row>
    <row r="52" spans="1:10" x14ac:dyDescent="0.25">
      <c r="A52" t="s">
        <v>1524</v>
      </c>
      <c r="C52" t="s">
        <v>1468</v>
      </c>
      <c r="D52">
        <v>0</v>
      </c>
      <c r="E52">
        <v>16</v>
      </c>
      <c r="F52">
        <v>32</v>
      </c>
      <c r="G52">
        <v>1</v>
      </c>
      <c r="H52">
        <v>6</v>
      </c>
      <c r="I52">
        <v>1</v>
      </c>
      <c r="J52">
        <v>1</v>
      </c>
    </row>
    <row r="53" spans="1:10" x14ac:dyDescent="0.25">
      <c r="A53" t="s">
        <v>1525</v>
      </c>
      <c r="C53" t="s">
        <v>1484</v>
      </c>
      <c r="D53">
        <v>0</v>
      </c>
      <c r="E53">
        <v>16</v>
      </c>
      <c r="F53">
        <v>32</v>
      </c>
      <c r="G53">
        <v>1</v>
      </c>
      <c r="H53">
        <v>6</v>
      </c>
      <c r="I53">
        <v>1</v>
      </c>
      <c r="J53">
        <v>6</v>
      </c>
    </row>
    <row r="54" spans="1:10" x14ac:dyDescent="0.25">
      <c r="A54" t="s">
        <v>1526</v>
      </c>
      <c r="C54" t="s">
        <v>1493</v>
      </c>
      <c r="D54">
        <v>0</v>
      </c>
      <c r="E54">
        <v>8</v>
      </c>
      <c r="F54">
        <v>32</v>
      </c>
      <c r="G54">
        <v>1</v>
      </c>
      <c r="H54">
        <v>6</v>
      </c>
      <c r="I54">
        <v>1</v>
      </c>
      <c r="J54">
        <v>1</v>
      </c>
    </row>
    <row r="55" spans="1:10" x14ac:dyDescent="0.25">
      <c r="A55" t="s">
        <v>1527</v>
      </c>
      <c r="C55" t="s">
        <v>1468</v>
      </c>
      <c r="D55">
        <v>0</v>
      </c>
      <c r="E55">
        <v>16</v>
      </c>
      <c r="F55">
        <v>32</v>
      </c>
      <c r="G55">
        <v>1</v>
      </c>
      <c r="H55">
        <v>6</v>
      </c>
      <c r="I55">
        <v>1</v>
      </c>
      <c r="J55">
        <v>1</v>
      </c>
    </row>
    <row r="56" spans="1:10" x14ac:dyDescent="0.25">
      <c r="A56" t="s">
        <v>1528</v>
      </c>
      <c r="C56" t="s">
        <v>1468</v>
      </c>
      <c r="D56">
        <v>0</v>
      </c>
      <c r="E56">
        <v>16</v>
      </c>
      <c r="F56">
        <v>32</v>
      </c>
      <c r="G56">
        <v>1</v>
      </c>
      <c r="H56">
        <v>6</v>
      </c>
      <c r="I56">
        <v>1</v>
      </c>
      <c r="J56">
        <v>1</v>
      </c>
    </row>
    <row r="57" spans="1:10" x14ac:dyDescent="0.25">
      <c r="A57" t="s">
        <v>1529</v>
      </c>
      <c r="C57" t="s">
        <v>1471</v>
      </c>
      <c r="D57">
        <v>0</v>
      </c>
      <c r="E57">
        <v>64</v>
      </c>
      <c r="F57">
        <v>1</v>
      </c>
      <c r="G57">
        <v>1</v>
      </c>
      <c r="H57">
        <v>6</v>
      </c>
      <c r="I57">
        <v>1</v>
      </c>
      <c r="J57">
        <v>1</v>
      </c>
    </row>
    <row r="58" spans="1:10" x14ac:dyDescent="0.25">
      <c r="A58" t="s">
        <v>1530</v>
      </c>
      <c r="C58" t="s">
        <v>1471</v>
      </c>
      <c r="D58">
        <v>0</v>
      </c>
      <c r="E58">
        <v>64</v>
      </c>
      <c r="F58">
        <v>1</v>
      </c>
      <c r="G58">
        <v>1</v>
      </c>
      <c r="H58">
        <v>6</v>
      </c>
      <c r="I58">
        <v>1</v>
      </c>
      <c r="J58">
        <v>1</v>
      </c>
    </row>
    <row r="59" spans="1:10" x14ac:dyDescent="0.25">
      <c r="A59" t="s">
        <v>1531</v>
      </c>
      <c r="C59" t="s">
        <v>1471</v>
      </c>
      <c r="D59">
        <v>0</v>
      </c>
      <c r="E59">
        <v>64</v>
      </c>
      <c r="F59">
        <v>1</v>
      </c>
      <c r="G59">
        <v>1</v>
      </c>
      <c r="H59">
        <v>6</v>
      </c>
      <c r="I59">
        <v>1</v>
      </c>
      <c r="J59">
        <v>1</v>
      </c>
    </row>
    <row r="60" spans="1:10" x14ac:dyDescent="0.25">
      <c r="A60" t="s">
        <v>1532</v>
      </c>
      <c r="C60" t="s">
        <v>1471</v>
      </c>
      <c r="D60">
        <v>0</v>
      </c>
      <c r="E60">
        <v>64</v>
      </c>
      <c r="F60">
        <v>1</v>
      </c>
      <c r="G60">
        <v>1</v>
      </c>
      <c r="H60">
        <v>6</v>
      </c>
      <c r="I60">
        <v>1</v>
      </c>
      <c r="J60">
        <v>1</v>
      </c>
    </row>
    <row r="61" spans="1:10" x14ac:dyDescent="0.25">
      <c r="A61" t="s">
        <v>1533</v>
      </c>
      <c r="C61" t="s">
        <v>1471</v>
      </c>
      <c r="D61">
        <v>0</v>
      </c>
      <c r="E61">
        <v>64</v>
      </c>
      <c r="F61">
        <v>1</v>
      </c>
      <c r="G61">
        <v>1</v>
      </c>
      <c r="H61">
        <v>6</v>
      </c>
      <c r="I61">
        <v>1</v>
      </c>
      <c r="J61">
        <v>1</v>
      </c>
    </row>
    <row r="62" spans="1:10" x14ac:dyDescent="0.25">
      <c r="A62" t="s">
        <v>1534</v>
      </c>
      <c r="C62" t="s">
        <v>1471</v>
      </c>
      <c r="D62">
        <v>0</v>
      </c>
      <c r="E62">
        <v>64</v>
      </c>
      <c r="F62">
        <v>1</v>
      </c>
      <c r="G62">
        <v>1</v>
      </c>
      <c r="H62">
        <v>6</v>
      </c>
      <c r="I62">
        <v>1</v>
      </c>
      <c r="J62">
        <v>1</v>
      </c>
    </row>
    <row r="63" spans="1:10" x14ac:dyDescent="0.25">
      <c r="A63" t="s">
        <v>1535</v>
      </c>
      <c r="C63" t="s">
        <v>1473</v>
      </c>
      <c r="D63">
        <v>0</v>
      </c>
      <c r="E63">
        <v>8</v>
      </c>
      <c r="F63">
        <v>62</v>
      </c>
      <c r="G63">
        <v>1</v>
      </c>
      <c r="H63">
        <v>6</v>
      </c>
      <c r="I63">
        <v>1</v>
      </c>
      <c r="J63">
        <v>1</v>
      </c>
    </row>
    <row r="64" spans="1:10" x14ac:dyDescent="0.25">
      <c r="A64" t="s">
        <v>1536</v>
      </c>
      <c r="C64" t="s">
        <v>1473</v>
      </c>
      <c r="D64">
        <v>0</v>
      </c>
      <c r="E64">
        <v>8</v>
      </c>
      <c r="F64">
        <v>62</v>
      </c>
      <c r="G64">
        <v>1</v>
      </c>
      <c r="H64">
        <v>6</v>
      </c>
      <c r="I64">
        <v>1</v>
      </c>
      <c r="J64">
        <v>1</v>
      </c>
    </row>
    <row r="65" spans="1:10" x14ac:dyDescent="0.25">
      <c r="A65" t="s">
        <v>1537</v>
      </c>
      <c r="C65" t="s">
        <v>1473</v>
      </c>
      <c r="D65">
        <v>0</v>
      </c>
      <c r="E65">
        <v>8</v>
      </c>
      <c r="F65">
        <v>62</v>
      </c>
      <c r="G65">
        <v>1</v>
      </c>
      <c r="H65">
        <v>6</v>
      </c>
      <c r="I65">
        <v>1</v>
      </c>
      <c r="J65">
        <v>1</v>
      </c>
    </row>
    <row r="66" spans="1:10" x14ac:dyDescent="0.25">
      <c r="A66" t="s">
        <v>1538</v>
      </c>
      <c r="C66" t="s">
        <v>1468</v>
      </c>
      <c r="D66">
        <v>0</v>
      </c>
      <c r="E66">
        <v>16</v>
      </c>
      <c r="F66">
        <v>32</v>
      </c>
      <c r="G66">
        <v>1</v>
      </c>
      <c r="H66">
        <v>6</v>
      </c>
      <c r="I66">
        <v>1</v>
      </c>
      <c r="J66">
        <v>1</v>
      </c>
    </row>
    <row r="67" spans="1:10" x14ac:dyDescent="0.25">
      <c r="A67" t="s">
        <v>1539</v>
      </c>
      <c r="C67" t="s">
        <v>1468</v>
      </c>
      <c r="D67">
        <v>0</v>
      </c>
      <c r="E67">
        <v>16</v>
      </c>
      <c r="F67">
        <v>32</v>
      </c>
      <c r="G67">
        <v>1</v>
      </c>
      <c r="H67">
        <v>6</v>
      </c>
      <c r="I67">
        <v>1</v>
      </c>
      <c r="J67">
        <v>1</v>
      </c>
    </row>
    <row r="68" spans="1:10" x14ac:dyDescent="0.25">
      <c r="A68" t="s">
        <v>1540</v>
      </c>
      <c r="C68" t="s">
        <v>1468</v>
      </c>
      <c r="D68">
        <v>0</v>
      </c>
      <c r="E68">
        <v>16</v>
      </c>
      <c r="F68">
        <v>32</v>
      </c>
      <c r="G68">
        <v>1</v>
      </c>
      <c r="H68">
        <v>6</v>
      </c>
      <c r="I68">
        <v>1</v>
      </c>
      <c r="J68">
        <v>1</v>
      </c>
    </row>
    <row r="69" spans="1:10" x14ac:dyDescent="0.25">
      <c r="A69" t="s">
        <v>1541</v>
      </c>
      <c r="C69" t="s">
        <v>1468</v>
      </c>
      <c r="D69">
        <v>0</v>
      </c>
      <c r="E69">
        <v>16</v>
      </c>
      <c r="F69">
        <v>32</v>
      </c>
      <c r="G69">
        <v>1</v>
      </c>
      <c r="H69">
        <v>6</v>
      </c>
      <c r="I69">
        <v>1</v>
      </c>
      <c r="J69">
        <v>1</v>
      </c>
    </row>
    <row r="70" spans="1:10" x14ac:dyDescent="0.25">
      <c r="A70" t="s">
        <v>1542</v>
      </c>
      <c r="C70" t="s">
        <v>1473</v>
      </c>
      <c r="D70">
        <v>0</v>
      </c>
      <c r="E70">
        <v>8</v>
      </c>
      <c r="F70">
        <v>62</v>
      </c>
      <c r="G70">
        <v>1</v>
      </c>
      <c r="H70">
        <v>6</v>
      </c>
      <c r="I70">
        <v>1</v>
      </c>
      <c r="J70">
        <v>1</v>
      </c>
    </row>
    <row r="71" spans="1:10" x14ac:dyDescent="0.25">
      <c r="A71" t="s">
        <v>1543</v>
      </c>
      <c r="C71" t="s">
        <v>1468</v>
      </c>
      <c r="D71">
        <v>0</v>
      </c>
      <c r="E71">
        <v>16</v>
      </c>
      <c r="F71">
        <v>32</v>
      </c>
      <c r="G71">
        <v>1</v>
      </c>
      <c r="H71">
        <v>6</v>
      </c>
      <c r="I71">
        <v>1</v>
      </c>
      <c r="J71">
        <v>1</v>
      </c>
    </row>
    <row r="72" spans="1:10" x14ac:dyDescent="0.25">
      <c r="A72" t="s">
        <v>1544</v>
      </c>
      <c r="C72" t="s">
        <v>1468</v>
      </c>
      <c r="D72">
        <v>0</v>
      </c>
      <c r="E72">
        <v>16</v>
      </c>
      <c r="F72">
        <v>32</v>
      </c>
      <c r="G72">
        <v>1</v>
      </c>
      <c r="H72">
        <v>6</v>
      </c>
      <c r="I72">
        <v>1</v>
      </c>
      <c r="J72">
        <v>1</v>
      </c>
    </row>
    <row r="73" spans="1:10" x14ac:dyDescent="0.25">
      <c r="A73" t="s">
        <v>1545</v>
      </c>
      <c r="C73" t="s">
        <v>1484</v>
      </c>
      <c r="D73">
        <v>0</v>
      </c>
      <c r="E73">
        <v>16</v>
      </c>
      <c r="F73">
        <v>32</v>
      </c>
      <c r="G73">
        <v>1</v>
      </c>
      <c r="H73">
        <v>6</v>
      </c>
      <c r="I73">
        <v>1</v>
      </c>
      <c r="J73">
        <v>6</v>
      </c>
    </row>
    <row r="74" spans="1:10" x14ac:dyDescent="0.25">
      <c r="A74" t="s">
        <v>1546</v>
      </c>
      <c r="C74" t="s">
        <v>1473</v>
      </c>
      <c r="D74">
        <v>0</v>
      </c>
      <c r="E74">
        <v>8</v>
      </c>
      <c r="F74">
        <v>62</v>
      </c>
      <c r="G74">
        <v>1</v>
      </c>
      <c r="H74">
        <v>6</v>
      </c>
      <c r="I74">
        <v>1</v>
      </c>
      <c r="J74">
        <v>1</v>
      </c>
    </row>
    <row r="75" spans="1:10" x14ac:dyDescent="0.25">
      <c r="A75" t="s">
        <v>1547</v>
      </c>
      <c r="C75" t="s">
        <v>1473</v>
      </c>
      <c r="D75">
        <v>0</v>
      </c>
      <c r="E75">
        <v>8</v>
      </c>
      <c r="F75">
        <v>62</v>
      </c>
      <c r="G75">
        <v>1</v>
      </c>
      <c r="H75">
        <v>6</v>
      </c>
      <c r="I75">
        <v>1</v>
      </c>
      <c r="J75">
        <v>1</v>
      </c>
    </row>
    <row r="76" spans="1:10" x14ac:dyDescent="0.25">
      <c r="A76" t="s">
        <v>1548</v>
      </c>
      <c r="C76" t="s">
        <v>1473</v>
      </c>
      <c r="D76">
        <v>0</v>
      </c>
      <c r="E76">
        <v>8</v>
      </c>
      <c r="F76">
        <v>62</v>
      </c>
      <c r="G76">
        <v>1</v>
      </c>
      <c r="H76">
        <v>6</v>
      </c>
      <c r="I76">
        <v>1</v>
      </c>
      <c r="J76">
        <v>1</v>
      </c>
    </row>
    <row r="77" spans="1:10" x14ac:dyDescent="0.25">
      <c r="A77" t="s">
        <v>1549</v>
      </c>
      <c r="C77" t="s">
        <v>1489</v>
      </c>
      <c r="D77">
        <v>0</v>
      </c>
      <c r="E77">
        <v>8</v>
      </c>
      <c r="F77">
        <v>8</v>
      </c>
      <c r="G77">
        <v>1</v>
      </c>
      <c r="H77">
        <v>6</v>
      </c>
      <c r="I77">
        <v>1</v>
      </c>
      <c r="J77">
        <v>1</v>
      </c>
    </row>
    <row r="78" spans="1:10" x14ac:dyDescent="0.25">
      <c r="A78" t="s">
        <v>1550</v>
      </c>
      <c r="C78" t="s">
        <v>1489</v>
      </c>
      <c r="D78">
        <v>0</v>
      </c>
      <c r="E78">
        <v>8</v>
      </c>
      <c r="F78">
        <v>8</v>
      </c>
      <c r="G78">
        <v>1</v>
      </c>
      <c r="H78">
        <v>6</v>
      </c>
      <c r="I78">
        <v>1</v>
      </c>
      <c r="J78">
        <v>1</v>
      </c>
    </row>
    <row r="79" spans="1:10" x14ac:dyDescent="0.25">
      <c r="A79" t="s">
        <v>1551</v>
      </c>
      <c r="C79" t="s">
        <v>1473</v>
      </c>
      <c r="D79">
        <v>0</v>
      </c>
      <c r="E79">
        <v>8</v>
      </c>
      <c r="F79">
        <v>62</v>
      </c>
      <c r="G79">
        <v>1</v>
      </c>
      <c r="H79">
        <v>6</v>
      </c>
      <c r="I79">
        <v>1</v>
      </c>
      <c r="J79">
        <v>1</v>
      </c>
    </row>
    <row r="80" spans="1:10" x14ac:dyDescent="0.25">
      <c r="A80" t="s">
        <v>1552</v>
      </c>
      <c r="C80" t="s">
        <v>1468</v>
      </c>
      <c r="D80">
        <v>0</v>
      </c>
      <c r="E80">
        <v>16</v>
      </c>
      <c r="F80">
        <v>32</v>
      </c>
      <c r="G80">
        <v>1</v>
      </c>
      <c r="H80">
        <v>6</v>
      </c>
      <c r="I80">
        <v>1</v>
      </c>
      <c r="J80">
        <v>1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82"/>
  <sheetViews>
    <sheetView topLeftCell="A61" workbookViewId="0">
      <selection activeCell="A83" sqref="A83"/>
    </sheetView>
  </sheetViews>
  <sheetFormatPr defaultRowHeight="15" x14ac:dyDescent="0.25"/>
  <cols>
    <col min="1" max="1" width="36.85546875" bestFit="1" customWidth="1"/>
    <col min="2" max="2" width="20.42578125" customWidth="1"/>
    <col min="3" max="3" width="23.5703125" bestFit="1" customWidth="1"/>
    <col min="4" max="4" width="37" bestFit="1" customWidth="1"/>
    <col min="5" max="5" width="9.42578125" bestFit="1" customWidth="1"/>
    <col min="6" max="6" width="12.42578125" customWidth="1"/>
    <col min="7" max="7" width="12.5703125" customWidth="1"/>
    <col min="8" max="8" width="11.140625" customWidth="1"/>
    <col min="9" max="9" width="20.140625" customWidth="1"/>
    <col min="10" max="10" width="17.5703125" customWidth="1"/>
    <col min="11" max="11" width="12.85546875" customWidth="1"/>
    <col min="12" max="12" width="36.85546875" bestFit="1" customWidth="1"/>
  </cols>
  <sheetData>
    <row r="1" spans="1:13" x14ac:dyDescent="0.25">
      <c r="A1" t="s">
        <v>786</v>
      </c>
    </row>
    <row r="2" spans="1:13" x14ac:dyDescent="0.25">
      <c r="D2" t="s">
        <v>101</v>
      </c>
      <c r="E2" t="s">
        <v>60</v>
      </c>
      <c r="F2" t="s">
        <v>60</v>
      </c>
      <c r="G2" t="s">
        <v>5</v>
      </c>
      <c r="H2" t="s">
        <v>60</v>
      </c>
      <c r="I2" s="6" t="s">
        <v>141</v>
      </c>
      <c r="J2" s="6" t="s">
        <v>141</v>
      </c>
      <c r="L2" t="s">
        <v>101</v>
      </c>
    </row>
    <row r="3" spans="1:13" x14ac:dyDescent="0.25">
      <c r="A3" t="s">
        <v>0</v>
      </c>
      <c r="B3" t="s">
        <v>1</v>
      </c>
      <c r="C3" t="s">
        <v>2</v>
      </c>
      <c r="D3" t="s">
        <v>771</v>
      </c>
      <c r="E3" t="s">
        <v>801</v>
      </c>
      <c r="F3" t="s">
        <v>1464</v>
      </c>
      <c r="G3" t="s">
        <v>798</v>
      </c>
      <c r="H3" t="s">
        <v>799</v>
      </c>
      <c r="I3" t="s">
        <v>803</v>
      </c>
      <c r="J3" t="s">
        <v>800</v>
      </c>
      <c r="K3" t="s">
        <v>802</v>
      </c>
      <c r="L3" t="s">
        <v>788</v>
      </c>
    </row>
    <row r="4" spans="1:13" x14ac:dyDescent="0.25">
      <c r="A4" t="s">
        <v>1241</v>
      </c>
      <c r="B4" t="s">
        <v>1638</v>
      </c>
      <c r="C4" t="s">
        <v>1242</v>
      </c>
      <c r="D4" t="s">
        <v>772</v>
      </c>
      <c r="E4">
        <v>1</v>
      </c>
      <c r="F4">
        <v>1</v>
      </c>
      <c r="G4">
        <v>0</v>
      </c>
      <c r="H4">
        <v>24</v>
      </c>
      <c r="I4" s="6">
        <f t="shared" ref="I4:J6" ca="1" si="0">NOW()</f>
        <v>45474.842169791664</v>
      </c>
      <c r="J4" s="6">
        <f t="shared" ca="1" si="0"/>
        <v>45474.842169791664</v>
      </c>
      <c r="K4" t="s">
        <v>337</v>
      </c>
      <c r="L4" t="s">
        <v>790</v>
      </c>
      <c r="M4" t="s">
        <v>1465</v>
      </c>
    </row>
    <row r="5" spans="1:13" x14ac:dyDescent="0.25">
      <c r="A5" t="s">
        <v>1661</v>
      </c>
      <c r="B5" t="s">
        <v>1663</v>
      </c>
      <c r="C5" t="s">
        <v>1666</v>
      </c>
      <c r="D5" t="s">
        <v>772</v>
      </c>
      <c r="E5">
        <v>1</v>
      </c>
      <c r="F5">
        <v>1</v>
      </c>
      <c r="G5">
        <v>0</v>
      </c>
      <c r="H5">
        <v>24</v>
      </c>
      <c r="I5" s="6">
        <f t="shared" ca="1" si="0"/>
        <v>45474.842169791664</v>
      </c>
      <c r="J5" s="6">
        <f t="shared" ca="1" si="0"/>
        <v>45474.842169791664</v>
      </c>
      <c r="K5" t="s">
        <v>1667</v>
      </c>
      <c r="L5" t="s">
        <v>790</v>
      </c>
      <c r="M5" t="s">
        <v>1465</v>
      </c>
    </row>
    <row r="6" spans="1:13" x14ac:dyDescent="0.25">
      <c r="A6" t="s">
        <v>1662</v>
      </c>
      <c r="B6" t="s">
        <v>1664</v>
      </c>
      <c r="C6" t="s">
        <v>1665</v>
      </c>
      <c r="D6" t="s">
        <v>772</v>
      </c>
      <c r="E6">
        <v>1</v>
      </c>
      <c r="F6">
        <v>1</v>
      </c>
      <c r="G6">
        <v>0</v>
      </c>
      <c r="H6">
        <v>24</v>
      </c>
      <c r="I6" s="6">
        <f t="shared" ca="1" si="0"/>
        <v>45474.842169791664</v>
      </c>
      <c r="J6" s="6">
        <f t="shared" ca="1" si="0"/>
        <v>45474.842169791664</v>
      </c>
      <c r="K6" t="s">
        <v>1667</v>
      </c>
      <c r="L6" t="s">
        <v>790</v>
      </c>
      <c r="M6" t="s">
        <v>1465</v>
      </c>
    </row>
    <row r="7" spans="1:13" x14ac:dyDescent="0.25">
      <c r="A7" t="s">
        <v>1243</v>
      </c>
      <c r="B7" t="s">
        <v>1244</v>
      </c>
      <c r="C7" t="s">
        <v>1245</v>
      </c>
      <c r="D7" t="s">
        <v>776</v>
      </c>
      <c r="E7">
        <v>0.25</v>
      </c>
      <c r="F7">
        <v>0.25</v>
      </c>
      <c r="G7">
        <v>0</v>
      </c>
      <c r="H7">
        <v>24</v>
      </c>
      <c r="I7" s="6">
        <f t="shared" ref="I7:J70" ca="1" si="1">NOW()</f>
        <v>45474.842169791664</v>
      </c>
      <c r="J7" s="6">
        <f t="shared" ca="1" si="1"/>
        <v>45474.842169791664</v>
      </c>
      <c r="K7" t="s">
        <v>1553</v>
      </c>
      <c r="L7" t="s">
        <v>1472</v>
      </c>
      <c r="M7" t="s">
        <v>1466</v>
      </c>
    </row>
    <row r="8" spans="1:13" x14ac:dyDescent="0.25">
      <c r="A8" t="s">
        <v>1246</v>
      </c>
      <c r="B8" t="s">
        <v>1247</v>
      </c>
      <c r="C8" t="s">
        <v>1248</v>
      </c>
      <c r="D8" t="s">
        <v>776</v>
      </c>
      <c r="E8">
        <v>0.5</v>
      </c>
      <c r="F8">
        <v>0.5</v>
      </c>
      <c r="G8">
        <v>0</v>
      </c>
      <c r="H8">
        <v>24</v>
      </c>
      <c r="I8" s="6">
        <f t="shared" ca="1" si="1"/>
        <v>45474.842169791664</v>
      </c>
      <c r="J8" s="6">
        <f t="shared" ca="1" si="1"/>
        <v>45474.842169791664</v>
      </c>
      <c r="K8" t="s">
        <v>1553</v>
      </c>
      <c r="L8" t="s">
        <v>1474</v>
      </c>
      <c r="M8" t="s">
        <v>1466</v>
      </c>
    </row>
    <row r="9" spans="1:13" x14ac:dyDescent="0.25">
      <c r="A9" t="s">
        <v>1249</v>
      </c>
      <c r="B9" t="s">
        <v>1250</v>
      </c>
      <c r="C9" t="s">
        <v>1251</v>
      </c>
      <c r="D9" t="s">
        <v>776</v>
      </c>
      <c r="E9">
        <v>0.25</v>
      </c>
      <c r="F9">
        <v>0.25</v>
      </c>
      <c r="G9">
        <v>0</v>
      </c>
      <c r="H9">
        <v>24</v>
      </c>
      <c r="I9" s="6">
        <f t="shared" ca="1" si="1"/>
        <v>45474.842169791664</v>
      </c>
      <c r="J9" s="6">
        <f t="shared" ca="1" si="1"/>
        <v>45474.842169791664</v>
      </c>
      <c r="K9" t="s">
        <v>1553</v>
      </c>
      <c r="L9" t="s">
        <v>1475</v>
      </c>
      <c r="M9" t="s">
        <v>1467</v>
      </c>
    </row>
    <row r="10" spans="1:13" x14ac:dyDescent="0.25">
      <c r="A10" t="s">
        <v>1252</v>
      </c>
      <c r="B10" t="s">
        <v>1253</v>
      </c>
      <c r="C10" t="s">
        <v>1254</v>
      </c>
      <c r="D10" t="s">
        <v>776</v>
      </c>
      <c r="E10">
        <v>0.5</v>
      </c>
      <c r="F10">
        <v>3</v>
      </c>
      <c r="G10">
        <v>0</v>
      </c>
      <c r="H10">
        <v>24</v>
      </c>
      <c r="I10" s="6">
        <f t="shared" ca="1" si="1"/>
        <v>45474.842169791664</v>
      </c>
      <c r="J10" s="6">
        <f t="shared" ca="1" si="1"/>
        <v>45474.842169791664</v>
      </c>
      <c r="K10" t="s">
        <v>1553</v>
      </c>
      <c r="L10" t="s">
        <v>1477</v>
      </c>
      <c r="M10" t="s">
        <v>1467</v>
      </c>
    </row>
    <row r="11" spans="1:13" x14ac:dyDescent="0.25">
      <c r="A11" t="s">
        <v>1255</v>
      </c>
      <c r="B11" t="s">
        <v>1256</v>
      </c>
      <c r="C11" t="s">
        <v>1257</v>
      </c>
      <c r="D11" t="s">
        <v>776</v>
      </c>
      <c r="E11" s="11">
        <v>0.1666667</v>
      </c>
      <c r="F11" s="11">
        <v>0.1666667</v>
      </c>
      <c r="G11">
        <v>0</v>
      </c>
      <c r="H11">
        <v>24</v>
      </c>
      <c r="I11" s="6">
        <f t="shared" ca="1" si="1"/>
        <v>45474.842169791664</v>
      </c>
      <c r="J11" s="6">
        <f t="shared" ca="1" si="1"/>
        <v>45474.842169791664</v>
      </c>
      <c r="K11" t="s">
        <v>1553</v>
      </c>
      <c r="L11" t="s">
        <v>1478</v>
      </c>
      <c r="M11" t="s">
        <v>1467</v>
      </c>
    </row>
    <row r="12" spans="1:13" x14ac:dyDescent="0.25">
      <c r="A12" t="s">
        <v>1258</v>
      </c>
      <c r="B12" t="s">
        <v>1259</v>
      </c>
      <c r="C12" t="s">
        <v>1260</v>
      </c>
      <c r="D12" t="s">
        <v>776</v>
      </c>
      <c r="E12" s="11">
        <v>0.1666667</v>
      </c>
      <c r="F12" s="11">
        <v>0.1666667</v>
      </c>
      <c r="G12">
        <v>0</v>
      </c>
      <c r="H12">
        <v>24</v>
      </c>
      <c r="I12" s="6">
        <f t="shared" ca="1" si="1"/>
        <v>45474.842169791664</v>
      </c>
      <c r="J12" s="6">
        <f t="shared" ca="1" si="1"/>
        <v>45474.842169791664</v>
      </c>
      <c r="K12" t="s">
        <v>1553</v>
      </c>
      <c r="L12" t="s">
        <v>1479</v>
      </c>
      <c r="M12" t="s">
        <v>1466</v>
      </c>
    </row>
    <row r="13" spans="1:13" x14ac:dyDescent="0.25">
      <c r="A13" t="s">
        <v>1261</v>
      </c>
      <c r="B13" t="s">
        <v>1262</v>
      </c>
      <c r="C13" t="s">
        <v>1263</v>
      </c>
      <c r="D13" t="s">
        <v>776</v>
      </c>
      <c r="E13">
        <v>3</v>
      </c>
      <c r="F13">
        <v>3</v>
      </c>
      <c r="G13">
        <v>0</v>
      </c>
      <c r="H13">
        <v>24</v>
      </c>
      <c r="I13" s="6">
        <f t="shared" ca="1" si="1"/>
        <v>45474.842169791664</v>
      </c>
      <c r="J13" s="6">
        <f t="shared" ca="1" si="1"/>
        <v>45474.842169791664</v>
      </c>
      <c r="K13" t="s">
        <v>1553</v>
      </c>
      <c r="L13" t="s">
        <v>1480</v>
      </c>
      <c r="M13" t="s">
        <v>1466</v>
      </c>
    </row>
    <row r="14" spans="1:13" x14ac:dyDescent="0.25">
      <c r="A14" t="s">
        <v>1264</v>
      </c>
      <c r="B14" t="s">
        <v>1265</v>
      </c>
      <c r="C14" t="s">
        <v>1266</v>
      </c>
      <c r="D14" t="s">
        <v>776</v>
      </c>
      <c r="E14" s="11">
        <v>0.1666667</v>
      </c>
      <c r="F14" s="11">
        <v>0.1666667</v>
      </c>
      <c r="G14">
        <v>0</v>
      </c>
      <c r="H14">
        <v>24</v>
      </c>
      <c r="I14" s="6">
        <f t="shared" ca="1" si="1"/>
        <v>45474.842169791664</v>
      </c>
      <c r="J14" s="6">
        <f t="shared" ca="1" si="1"/>
        <v>45474.842169791664</v>
      </c>
      <c r="K14" t="s">
        <v>337</v>
      </c>
      <c r="L14" t="s">
        <v>1481</v>
      </c>
      <c r="M14" t="s">
        <v>1468</v>
      </c>
    </row>
    <row r="15" spans="1:13" x14ac:dyDescent="0.25">
      <c r="A15" t="s">
        <v>1267</v>
      </c>
      <c r="B15" t="s">
        <v>1268</v>
      </c>
      <c r="C15" t="s">
        <v>1269</v>
      </c>
      <c r="D15" t="s">
        <v>776</v>
      </c>
      <c r="E15" s="11">
        <v>0.1666667</v>
      </c>
      <c r="F15" s="11">
        <v>0.1666667</v>
      </c>
      <c r="G15">
        <v>0</v>
      </c>
      <c r="H15">
        <v>24</v>
      </c>
      <c r="I15" s="6">
        <f t="shared" ca="1" si="1"/>
        <v>45474.842169791664</v>
      </c>
      <c r="J15" s="6">
        <f t="shared" ca="1" si="1"/>
        <v>45474.842169791664</v>
      </c>
      <c r="K15" t="s">
        <v>337</v>
      </c>
      <c r="L15" t="s">
        <v>1482</v>
      </c>
      <c r="M15" t="s">
        <v>1468</v>
      </c>
    </row>
    <row r="16" spans="1:13" x14ac:dyDescent="0.25">
      <c r="A16" t="s">
        <v>1270</v>
      </c>
      <c r="B16" t="s">
        <v>1271</v>
      </c>
      <c r="C16" t="s">
        <v>1272</v>
      </c>
      <c r="D16" t="s">
        <v>776</v>
      </c>
      <c r="E16">
        <v>3</v>
      </c>
      <c r="F16">
        <v>3</v>
      </c>
      <c r="G16">
        <v>0</v>
      </c>
      <c r="H16">
        <v>24</v>
      </c>
      <c r="I16" s="6">
        <f t="shared" ca="1" si="1"/>
        <v>45474.842169791664</v>
      </c>
      <c r="J16" s="6">
        <f t="shared" ca="1" si="1"/>
        <v>45474.842169791664</v>
      </c>
      <c r="K16" t="s">
        <v>337</v>
      </c>
      <c r="L16" t="s">
        <v>1483</v>
      </c>
      <c r="M16" t="s">
        <v>1469</v>
      </c>
    </row>
    <row r="17" spans="1:13" x14ac:dyDescent="0.25">
      <c r="A17" t="s">
        <v>1273</v>
      </c>
      <c r="B17" t="s">
        <v>1274</v>
      </c>
      <c r="C17" t="s">
        <v>1275</v>
      </c>
      <c r="D17" t="s">
        <v>776</v>
      </c>
      <c r="E17" s="11">
        <v>0.1666667</v>
      </c>
      <c r="F17" s="11">
        <v>0.1666667</v>
      </c>
      <c r="G17">
        <v>0</v>
      </c>
      <c r="H17">
        <v>24</v>
      </c>
      <c r="I17" s="6">
        <f t="shared" ca="1" si="1"/>
        <v>45474.842169791664</v>
      </c>
      <c r="J17" s="6">
        <f t="shared" ca="1" si="1"/>
        <v>45474.842169791664</v>
      </c>
      <c r="K17" t="s">
        <v>1553</v>
      </c>
      <c r="L17" t="s">
        <v>1485</v>
      </c>
      <c r="M17" t="s">
        <v>1467</v>
      </c>
    </row>
    <row r="18" spans="1:13" x14ac:dyDescent="0.25">
      <c r="A18" t="s">
        <v>1276</v>
      </c>
      <c r="B18" t="s">
        <v>1277</v>
      </c>
      <c r="C18" t="s">
        <v>1278</v>
      </c>
      <c r="D18" t="s">
        <v>776</v>
      </c>
      <c r="E18" s="11">
        <v>0.1666667</v>
      </c>
      <c r="F18" s="11">
        <v>0.1666667</v>
      </c>
      <c r="G18">
        <v>0</v>
      </c>
      <c r="H18">
        <v>24</v>
      </c>
      <c r="I18" s="6">
        <f t="shared" ca="1" si="1"/>
        <v>45474.842169791664</v>
      </c>
      <c r="J18" s="6">
        <f t="shared" ca="1" si="1"/>
        <v>45474.842169791664</v>
      </c>
      <c r="K18" t="s">
        <v>337</v>
      </c>
      <c r="L18" t="s">
        <v>1486</v>
      </c>
      <c r="M18" t="s">
        <v>1468</v>
      </c>
    </row>
    <row r="19" spans="1:13" x14ac:dyDescent="0.25">
      <c r="A19" t="s">
        <v>1279</v>
      </c>
      <c r="B19" t="s">
        <v>1280</v>
      </c>
      <c r="C19" t="s">
        <v>1281</v>
      </c>
      <c r="D19" t="s">
        <v>1216</v>
      </c>
      <c r="E19" s="11">
        <v>0.1666667</v>
      </c>
      <c r="F19" s="11">
        <v>0.1666667</v>
      </c>
      <c r="G19">
        <v>0</v>
      </c>
      <c r="H19">
        <v>24</v>
      </c>
      <c r="I19" s="6">
        <f t="shared" ca="1" si="1"/>
        <v>45474.842169791664</v>
      </c>
      <c r="J19" s="6">
        <f t="shared" ca="1" si="1"/>
        <v>45474.842169791664</v>
      </c>
      <c r="K19" t="s">
        <v>1553</v>
      </c>
      <c r="L19" t="s">
        <v>1487</v>
      </c>
      <c r="M19" t="s">
        <v>1466</v>
      </c>
    </row>
    <row r="20" spans="1:13" x14ac:dyDescent="0.25">
      <c r="A20" t="s">
        <v>1282</v>
      </c>
      <c r="B20" t="s">
        <v>1283</v>
      </c>
      <c r="C20" t="s">
        <v>1284</v>
      </c>
      <c r="D20" t="s">
        <v>1216</v>
      </c>
      <c r="E20" s="11">
        <v>0.5</v>
      </c>
      <c r="F20" s="11">
        <v>0.5</v>
      </c>
      <c r="G20">
        <v>0</v>
      </c>
      <c r="H20">
        <v>24</v>
      </c>
      <c r="I20" s="6">
        <f t="shared" ca="1" si="1"/>
        <v>45474.842169791664</v>
      </c>
      <c r="J20" s="6">
        <f t="shared" ca="1" si="1"/>
        <v>45474.842169791664</v>
      </c>
      <c r="K20" t="s">
        <v>1553</v>
      </c>
      <c r="L20" t="s">
        <v>1488</v>
      </c>
      <c r="M20" t="s">
        <v>1467</v>
      </c>
    </row>
    <row r="21" spans="1:13" x14ac:dyDescent="0.25">
      <c r="A21" t="s">
        <v>1285</v>
      </c>
      <c r="B21" t="s">
        <v>1286</v>
      </c>
      <c r="C21" t="s">
        <v>1287</v>
      </c>
      <c r="D21" t="s">
        <v>1216</v>
      </c>
      <c r="E21">
        <v>0.5</v>
      </c>
      <c r="F21" s="11">
        <v>0.5</v>
      </c>
      <c r="G21">
        <v>0</v>
      </c>
      <c r="H21">
        <v>24</v>
      </c>
      <c r="I21" s="6">
        <f t="shared" ca="1" si="1"/>
        <v>45474.842169791664</v>
      </c>
      <c r="J21" s="6">
        <f t="shared" ca="1" si="1"/>
        <v>45474.842169791664</v>
      </c>
      <c r="K21" t="s">
        <v>1553</v>
      </c>
      <c r="L21" t="s">
        <v>1490</v>
      </c>
      <c r="M21" t="s">
        <v>1466</v>
      </c>
    </row>
    <row r="22" spans="1:13" x14ac:dyDescent="0.25">
      <c r="A22" t="s">
        <v>1288</v>
      </c>
      <c r="B22" t="s">
        <v>1289</v>
      </c>
      <c r="C22" t="s">
        <v>1290</v>
      </c>
      <c r="D22" t="s">
        <v>1216</v>
      </c>
      <c r="E22">
        <v>0.25</v>
      </c>
      <c r="F22">
        <v>0.25</v>
      </c>
      <c r="G22">
        <v>0</v>
      </c>
      <c r="H22">
        <v>24</v>
      </c>
      <c r="I22" s="6">
        <f t="shared" ca="1" si="1"/>
        <v>45474.842169791664</v>
      </c>
      <c r="J22" s="6">
        <f t="shared" ca="1" si="1"/>
        <v>45474.842169791664</v>
      </c>
      <c r="K22" t="s">
        <v>1553</v>
      </c>
      <c r="L22" t="s">
        <v>1491</v>
      </c>
      <c r="M22" t="s">
        <v>1466</v>
      </c>
    </row>
    <row r="23" spans="1:13" x14ac:dyDescent="0.25">
      <c r="A23" t="s">
        <v>1291</v>
      </c>
      <c r="B23" t="s">
        <v>1292</v>
      </c>
      <c r="C23" t="s">
        <v>1293</v>
      </c>
      <c r="D23" t="s">
        <v>1216</v>
      </c>
      <c r="E23" s="11">
        <v>0.1666667</v>
      </c>
      <c r="F23" s="11">
        <v>0.1666667</v>
      </c>
      <c r="G23">
        <v>0</v>
      </c>
      <c r="H23">
        <v>24</v>
      </c>
      <c r="I23" s="6">
        <f t="shared" ca="1" si="1"/>
        <v>45474.842169791664</v>
      </c>
      <c r="J23" s="6">
        <f t="shared" ca="1" si="1"/>
        <v>45474.842169791664</v>
      </c>
      <c r="K23" t="s">
        <v>1553</v>
      </c>
      <c r="L23" t="s">
        <v>1492</v>
      </c>
      <c r="M23" t="s">
        <v>1467</v>
      </c>
    </row>
    <row r="24" spans="1:13" x14ac:dyDescent="0.25">
      <c r="A24" t="s">
        <v>1294</v>
      </c>
      <c r="B24" t="s">
        <v>1295</v>
      </c>
      <c r="C24" t="s">
        <v>1260</v>
      </c>
      <c r="D24" t="s">
        <v>1216</v>
      </c>
      <c r="E24">
        <v>0.5</v>
      </c>
      <c r="F24" s="11">
        <v>0.5</v>
      </c>
      <c r="G24">
        <v>0</v>
      </c>
      <c r="H24">
        <v>24</v>
      </c>
      <c r="I24" s="6">
        <f t="shared" ca="1" si="1"/>
        <v>45474.842169791664</v>
      </c>
      <c r="J24" s="6">
        <f t="shared" ca="1" si="1"/>
        <v>45474.842169791664</v>
      </c>
      <c r="K24" t="s">
        <v>1553</v>
      </c>
      <c r="L24" t="s">
        <v>1494</v>
      </c>
      <c r="M24" t="s">
        <v>1466</v>
      </c>
    </row>
    <row r="25" spans="1:13" x14ac:dyDescent="0.25">
      <c r="A25" t="s">
        <v>1296</v>
      </c>
      <c r="B25" t="s">
        <v>1297</v>
      </c>
      <c r="C25" t="s">
        <v>1298</v>
      </c>
      <c r="D25" t="s">
        <v>1216</v>
      </c>
      <c r="E25">
        <v>0.25</v>
      </c>
      <c r="F25">
        <v>0.25</v>
      </c>
      <c r="G25">
        <v>0</v>
      </c>
      <c r="H25">
        <v>24</v>
      </c>
      <c r="I25" s="6">
        <f t="shared" ca="1" si="1"/>
        <v>45474.842169791664</v>
      </c>
      <c r="J25" s="6">
        <f t="shared" ca="1" si="1"/>
        <v>45474.842169791664</v>
      </c>
      <c r="K25" t="s">
        <v>1553</v>
      </c>
      <c r="L25" t="s">
        <v>1495</v>
      </c>
      <c r="M25" t="s">
        <v>1466</v>
      </c>
    </row>
    <row r="26" spans="1:13" x14ac:dyDescent="0.25">
      <c r="A26" t="s">
        <v>1299</v>
      </c>
      <c r="B26" t="s">
        <v>1300</v>
      </c>
      <c r="C26" t="s">
        <v>1266</v>
      </c>
      <c r="D26" t="s">
        <v>1216</v>
      </c>
      <c r="E26">
        <v>0.25</v>
      </c>
      <c r="F26">
        <v>0.25</v>
      </c>
      <c r="G26">
        <v>0</v>
      </c>
      <c r="H26">
        <v>24</v>
      </c>
      <c r="I26" s="6">
        <f t="shared" ca="1" si="1"/>
        <v>45474.842169791664</v>
      </c>
      <c r="J26" s="6">
        <f t="shared" ca="1" si="1"/>
        <v>45474.842169791664</v>
      </c>
      <c r="K26" t="s">
        <v>337</v>
      </c>
      <c r="L26" t="s">
        <v>1496</v>
      </c>
      <c r="M26" t="s">
        <v>1468</v>
      </c>
    </row>
    <row r="27" spans="1:13" x14ac:dyDescent="0.25">
      <c r="A27" t="s">
        <v>1301</v>
      </c>
      <c r="B27" t="s">
        <v>1302</v>
      </c>
      <c r="C27" t="s">
        <v>1303</v>
      </c>
      <c r="D27" t="s">
        <v>1216</v>
      </c>
      <c r="E27" s="11">
        <v>0.1666667</v>
      </c>
      <c r="F27" s="11">
        <v>0.1666667</v>
      </c>
      <c r="G27">
        <v>0</v>
      </c>
      <c r="H27">
        <v>24</v>
      </c>
      <c r="I27" s="6">
        <f t="shared" ca="1" si="1"/>
        <v>45474.842169791664</v>
      </c>
      <c r="J27" s="6">
        <f t="shared" ca="1" si="1"/>
        <v>45474.842169791664</v>
      </c>
      <c r="K27" t="s">
        <v>1553</v>
      </c>
      <c r="L27" t="s">
        <v>1497</v>
      </c>
      <c r="M27" t="s">
        <v>1467</v>
      </c>
    </row>
    <row r="28" spans="1:13" x14ac:dyDescent="0.25">
      <c r="A28" t="s">
        <v>1304</v>
      </c>
      <c r="B28" t="s">
        <v>1305</v>
      </c>
      <c r="C28" t="s">
        <v>1306</v>
      </c>
      <c r="D28" t="s">
        <v>1216</v>
      </c>
      <c r="E28" s="11">
        <v>0.1666667</v>
      </c>
      <c r="F28" s="11">
        <v>0.1666667</v>
      </c>
      <c r="G28">
        <v>0</v>
      </c>
      <c r="H28">
        <v>24</v>
      </c>
      <c r="I28" s="6">
        <f t="shared" ca="1" si="1"/>
        <v>45474.842169791664</v>
      </c>
      <c r="J28" s="6">
        <f t="shared" ca="1" si="1"/>
        <v>45474.842169791664</v>
      </c>
      <c r="K28" t="s">
        <v>337</v>
      </c>
      <c r="L28" t="s">
        <v>1498</v>
      </c>
      <c r="M28" t="s">
        <v>1468</v>
      </c>
    </row>
    <row r="29" spans="1:13" x14ac:dyDescent="0.25">
      <c r="A29" t="s">
        <v>1307</v>
      </c>
      <c r="B29" t="s">
        <v>1308</v>
      </c>
      <c r="C29" t="s">
        <v>1122</v>
      </c>
      <c r="D29" t="s">
        <v>777</v>
      </c>
      <c r="E29" s="11">
        <v>0.5</v>
      </c>
      <c r="F29" s="11">
        <v>0.5</v>
      </c>
      <c r="G29">
        <v>0</v>
      </c>
      <c r="H29">
        <v>24</v>
      </c>
      <c r="I29" s="6">
        <f t="shared" ca="1" si="1"/>
        <v>45474.842169791664</v>
      </c>
      <c r="J29" s="6">
        <f t="shared" ca="1" si="1"/>
        <v>45474.842169791664</v>
      </c>
      <c r="K29" t="s">
        <v>337</v>
      </c>
      <c r="L29" t="s">
        <v>1499</v>
      </c>
      <c r="M29" t="s">
        <v>1468</v>
      </c>
    </row>
    <row r="30" spans="1:13" x14ac:dyDescent="0.25">
      <c r="A30" t="s">
        <v>1309</v>
      </c>
      <c r="B30" t="s">
        <v>1121</v>
      </c>
      <c r="C30" t="s">
        <v>1310</v>
      </c>
      <c r="D30" t="s">
        <v>777</v>
      </c>
      <c r="E30" s="11">
        <v>0.1666667</v>
      </c>
      <c r="F30" s="11">
        <v>0.1666667</v>
      </c>
      <c r="G30">
        <v>0</v>
      </c>
      <c r="H30">
        <v>168</v>
      </c>
      <c r="I30" s="6">
        <f t="shared" ca="1" si="1"/>
        <v>45474.842169791664</v>
      </c>
      <c r="J30" s="6">
        <f t="shared" ca="1" si="1"/>
        <v>45474.842169791664</v>
      </c>
      <c r="K30" t="s">
        <v>337</v>
      </c>
      <c r="L30" t="s">
        <v>1500</v>
      </c>
      <c r="M30" t="s">
        <v>1468</v>
      </c>
    </row>
    <row r="31" spans="1:13" x14ac:dyDescent="0.25">
      <c r="A31" t="s">
        <v>1311</v>
      </c>
      <c r="B31" t="s">
        <v>1312</v>
      </c>
      <c r="C31" t="s">
        <v>1313</v>
      </c>
      <c r="D31" t="s">
        <v>777</v>
      </c>
      <c r="E31" s="11">
        <v>0.1666667</v>
      </c>
      <c r="F31" s="11">
        <v>0.1666667</v>
      </c>
      <c r="G31">
        <v>0</v>
      </c>
      <c r="H31">
        <v>48</v>
      </c>
      <c r="I31" s="6">
        <f t="shared" ca="1" si="1"/>
        <v>45474.842169791664</v>
      </c>
      <c r="J31" s="6">
        <f t="shared" ca="1" si="1"/>
        <v>45474.842169791664</v>
      </c>
      <c r="K31" t="s">
        <v>1553</v>
      </c>
      <c r="L31" t="s">
        <v>1501</v>
      </c>
      <c r="M31" t="s">
        <v>1467</v>
      </c>
    </row>
    <row r="32" spans="1:13" x14ac:dyDescent="0.25">
      <c r="A32" t="s">
        <v>1314</v>
      </c>
      <c r="B32" t="s">
        <v>1315</v>
      </c>
      <c r="C32" t="s">
        <v>1316</v>
      </c>
      <c r="D32" t="s">
        <v>777</v>
      </c>
      <c r="E32" s="11">
        <v>0.25</v>
      </c>
      <c r="F32" s="11">
        <v>0.25</v>
      </c>
      <c r="G32">
        <v>0</v>
      </c>
      <c r="H32">
        <v>12</v>
      </c>
      <c r="I32" s="6">
        <f t="shared" ca="1" si="1"/>
        <v>45474.842169791664</v>
      </c>
      <c r="J32" s="6">
        <f t="shared" ca="1" si="1"/>
        <v>45474.842169791664</v>
      </c>
      <c r="K32" t="s">
        <v>1553</v>
      </c>
      <c r="L32" t="s">
        <v>1502</v>
      </c>
      <c r="M32" t="s">
        <v>1466</v>
      </c>
    </row>
    <row r="33" spans="1:13" x14ac:dyDescent="0.25">
      <c r="A33" t="s">
        <v>1317</v>
      </c>
      <c r="B33" t="s">
        <v>1318</v>
      </c>
      <c r="C33" t="s">
        <v>1319</v>
      </c>
      <c r="D33" t="s">
        <v>777</v>
      </c>
      <c r="E33" s="11">
        <v>0.3333333</v>
      </c>
      <c r="F33" s="11">
        <v>0.3333333</v>
      </c>
      <c r="G33">
        <v>0</v>
      </c>
      <c r="H33">
        <v>168</v>
      </c>
      <c r="I33" s="6">
        <f t="shared" ca="1" si="1"/>
        <v>45474.842169791664</v>
      </c>
      <c r="J33" s="6">
        <f t="shared" ca="1" si="1"/>
        <v>45474.842169791664</v>
      </c>
      <c r="K33" t="s">
        <v>337</v>
      </c>
      <c r="L33" t="s">
        <v>1503</v>
      </c>
      <c r="M33" t="s">
        <v>1468</v>
      </c>
    </row>
    <row r="34" spans="1:13" x14ac:dyDescent="0.25">
      <c r="A34" t="s">
        <v>1320</v>
      </c>
      <c r="B34" t="s">
        <v>1321</v>
      </c>
      <c r="C34" t="s">
        <v>1322</v>
      </c>
      <c r="D34" t="s">
        <v>777</v>
      </c>
      <c r="E34" s="11">
        <v>0.25</v>
      </c>
      <c r="F34" s="11">
        <v>0.25</v>
      </c>
      <c r="G34">
        <v>0</v>
      </c>
      <c r="H34">
        <v>24</v>
      </c>
      <c r="I34" s="6">
        <f t="shared" ca="1" si="1"/>
        <v>45474.842169791664</v>
      </c>
      <c r="J34" s="6">
        <f t="shared" ca="1" si="1"/>
        <v>45474.842169791664</v>
      </c>
      <c r="K34" t="s">
        <v>337</v>
      </c>
      <c r="L34" t="s">
        <v>1504</v>
      </c>
      <c r="M34" t="s">
        <v>1468</v>
      </c>
    </row>
    <row r="35" spans="1:13" x14ac:dyDescent="0.25">
      <c r="A35" t="s">
        <v>1323</v>
      </c>
      <c r="B35" t="s">
        <v>1324</v>
      </c>
      <c r="C35" t="s">
        <v>1325</v>
      </c>
      <c r="D35" t="s">
        <v>777</v>
      </c>
      <c r="E35" s="11">
        <v>0.25</v>
      </c>
      <c r="F35" s="11">
        <v>0.25</v>
      </c>
      <c r="G35">
        <v>0</v>
      </c>
      <c r="H35">
        <v>24</v>
      </c>
      <c r="I35" s="6">
        <f t="shared" ca="1" si="1"/>
        <v>45474.842169791664</v>
      </c>
      <c r="J35" s="6">
        <f t="shared" ca="1" si="1"/>
        <v>45474.842169791664</v>
      </c>
      <c r="K35" t="s">
        <v>1553</v>
      </c>
      <c r="L35" t="s">
        <v>1505</v>
      </c>
      <c r="M35" t="s">
        <v>1467</v>
      </c>
    </row>
    <row r="36" spans="1:13" x14ac:dyDescent="0.25">
      <c r="A36" t="s">
        <v>1326</v>
      </c>
      <c r="B36" t="s">
        <v>1327</v>
      </c>
      <c r="C36" t="s">
        <v>1328</v>
      </c>
      <c r="D36" t="s">
        <v>777</v>
      </c>
      <c r="E36" s="11">
        <v>0.3333333</v>
      </c>
      <c r="F36" s="11">
        <v>0.3333333</v>
      </c>
      <c r="G36">
        <v>0</v>
      </c>
      <c r="H36">
        <v>24</v>
      </c>
      <c r="I36" s="6">
        <f t="shared" ca="1" si="1"/>
        <v>45474.842169791664</v>
      </c>
      <c r="J36" s="6">
        <f t="shared" ca="1" si="1"/>
        <v>45474.842169791664</v>
      </c>
      <c r="K36" t="s">
        <v>1553</v>
      </c>
      <c r="L36" t="s">
        <v>1506</v>
      </c>
      <c r="M36" t="s">
        <v>1467</v>
      </c>
    </row>
    <row r="37" spans="1:13" x14ac:dyDescent="0.25">
      <c r="A37" t="s">
        <v>1329</v>
      </c>
      <c r="B37" t="s">
        <v>1330</v>
      </c>
      <c r="C37" t="s">
        <v>1331</v>
      </c>
      <c r="D37" t="s">
        <v>777</v>
      </c>
      <c r="E37" s="11">
        <v>1</v>
      </c>
      <c r="F37" s="11">
        <v>1</v>
      </c>
      <c r="G37">
        <v>0</v>
      </c>
      <c r="H37">
        <v>168</v>
      </c>
      <c r="I37" s="6">
        <f t="shared" ca="1" si="1"/>
        <v>45474.842169791664</v>
      </c>
      <c r="J37" s="6">
        <f t="shared" ca="1" si="1"/>
        <v>45474.842169791664</v>
      </c>
      <c r="K37" t="s">
        <v>337</v>
      </c>
      <c r="L37" t="s">
        <v>1507</v>
      </c>
      <c r="M37" t="s">
        <v>1469</v>
      </c>
    </row>
    <row r="38" spans="1:13" x14ac:dyDescent="0.25">
      <c r="A38" t="s">
        <v>1332</v>
      </c>
      <c r="B38" t="s">
        <v>1333</v>
      </c>
      <c r="C38" t="s">
        <v>1334</v>
      </c>
      <c r="D38" t="s">
        <v>777</v>
      </c>
      <c r="E38" s="11">
        <v>2</v>
      </c>
      <c r="F38" s="11">
        <v>2</v>
      </c>
      <c r="G38">
        <v>0</v>
      </c>
      <c r="H38">
        <v>720</v>
      </c>
      <c r="I38" s="6">
        <f t="shared" ca="1" si="1"/>
        <v>45474.842169791664</v>
      </c>
      <c r="J38" s="6">
        <f t="shared" ca="1" si="1"/>
        <v>45474.842169791664</v>
      </c>
      <c r="K38" t="s">
        <v>337</v>
      </c>
      <c r="L38" t="s">
        <v>1508</v>
      </c>
      <c r="M38" t="s">
        <v>1470</v>
      </c>
    </row>
    <row r="39" spans="1:13" x14ac:dyDescent="0.25">
      <c r="A39" t="s">
        <v>1335</v>
      </c>
      <c r="B39" t="s">
        <v>1336</v>
      </c>
      <c r="C39" t="s">
        <v>1337</v>
      </c>
      <c r="D39" t="s">
        <v>777</v>
      </c>
      <c r="E39" s="11">
        <v>0.5</v>
      </c>
      <c r="F39" s="11">
        <v>0.5</v>
      </c>
      <c r="G39">
        <v>0</v>
      </c>
      <c r="H39">
        <v>720</v>
      </c>
      <c r="I39" s="6">
        <f t="shared" ca="1" si="1"/>
        <v>45474.842169791664</v>
      </c>
      <c r="J39" s="6">
        <f t="shared" ca="1" si="1"/>
        <v>45474.842169791664</v>
      </c>
      <c r="K39" t="s">
        <v>1553</v>
      </c>
      <c r="L39" t="s">
        <v>1509</v>
      </c>
      <c r="M39" t="s">
        <v>1467</v>
      </c>
    </row>
    <row r="40" spans="1:13" x14ac:dyDescent="0.25">
      <c r="A40" t="s">
        <v>1338</v>
      </c>
      <c r="B40" t="s">
        <v>1339</v>
      </c>
      <c r="C40" t="s">
        <v>1340</v>
      </c>
      <c r="D40" t="s">
        <v>777</v>
      </c>
      <c r="E40" s="11">
        <v>0.5</v>
      </c>
      <c r="F40" s="11">
        <v>0.5</v>
      </c>
      <c r="G40">
        <v>0</v>
      </c>
      <c r="H40">
        <v>720</v>
      </c>
      <c r="I40" s="6">
        <f t="shared" ca="1" si="1"/>
        <v>45474.842169791664</v>
      </c>
      <c r="J40" s="6">
        <f t="shared" ca="1" si="1"/>
        <v>45474.842169791664</v>
      </c>
      <c r="K40" t="s">
        <v>337</v>
      </c>
      <c r="L40" t="s">
        <v>1510</v>
      </c>
      <c r="M40" t="s">
        <v>1469</v>
      </c>
    </row>
    <row r="41" spans="1:13" x14ac:dyDescent="0.25">
      <c r="A41" t="s">
        <v>1341</v>
      </c>
      <c r="B41" t="s">
        <v>1342</v>
      </c>
      <c r="C41" t="s">
        <v>1343</v>
      </c>
      <c r="D41" t="s">
        <v>777</v>
      </c>
      <c r="E41" s="11">
        <v>1</v>
      </c>
      <c r="F41" s="11">
        <v>1</v>
      </c>
      <c r="G41">
        <v>0</v>
      </c>
      <c r="H41">
        <v>168</v>
      </c>
      <c r="I41" s="6">
        <f t="shared" ca="1" si="1"/>
        <v>45474.842169791664</v>
      </c>
      <c r="J41" s="6">
        <f t="shared" ca="1" si="1"/>
        <v>45474.842169791664</v>
      </c>
      <c r="K41" t="s">
        <v>337</v>
      </c>
      <c r="L41" t="s">
        <v>1511</v>
      </c>
      <c r="M41" t="s">
        <v>1468</v>
      </c>
    </row>
    <row r="42" spans="1:13" x14ac:dyDescent="0.25">
      <c r="A42" t="s">
        <v>1344</v>
      </c>
      <c r="B42" t="s">
        <v>1345</v>
      </c>
      <c r="C42" t="s">
        <v>1346</v>
      </c>
      <c r="D42" t="s">
        <v>778</v>
      </c>
      <c r="E42" s="11">
        <v>0.1666667</v>
      </c>
      <c r="F42" s="11">
        <v>0.1666667</v>
      </c>
      <c r="G42">
        <v>0</v>
      </c>
      <c r="H42">
        <v>24</v>
      </c>
      <c r="I42" s="6">
        <f t="shared" ca="1" si="1"/>
        <v>45474.842169791664</v>
      </c>
      <c r="J42" s="6">
        <f t="shared" ca="1" si="1"/>
        <v>45474.842169791664</v>
      </c>
      <c r="K42" t="s">
        <v>1553</v>
      </c>
      <c r="L42" t="s">
        <v>1512</v>
      </c>
      <c r="M42" t="s">
        <v>1467</v>
      </c>
    </row>
    <row r="43" spans="1:13" x14ac:dyDescent="0.25">
      <c r="A43" t="s">
        <v>1347</v>
      </c>
      <c r="B43" t="s">
        <v>1348</v>
      </c>
      <c r="C43" t="s">
        <v>1349</v>
      </c>
      <c r="D43" t="s">
        <v>778</v>
      </c>
      <c r="E43" s="11">
        <v>0.1666667</v>
      </c>
      <c r="F43" s="11">
        <v>0.1666667</v>
      </c>
      <c r="G43">
        <v>0</v>
      </c>
      <c r="H43">
        <v>24</v>
      </c>
      <c r="I43" s="6">
        <f t="shared" ca="1" si="1"/>
        <v>45474.842169791664</v>
      </c>
      <c r="J43" s="6">
        <f t="shared" ca="1" si="1"/>
        <v>45474.842169791664</v>
      </c>
      <c r="K43" t="s">
        <v>1553</v>
      </c>
      <c r="L43" t="s">
        <v>1513</v>
      </c>
      <c r="M43" t="s">
        <v>1467</v>
      </c>
    </row>
    <row r="44" spans="1:13" x14ac:dyDescent="0.25">
      <c r="A44" t="s">
        <v>1350</v>
      </c>
      <c r="B44" t="s">
        <v>1351</v>
      </c>
      <c r="C44" t="s">
        <v>1352</v>
      </c>
      <c r="D44" t="s">
        <v>778</v>
      </c>
      <c r="E44" s="11">
        <v>0.1666667</v>
      </c>
      <c r="F44" s="11">
        <v>0.1666667</v>
      </c>
      <c r="G44">
        <v>0</v>
      </c>
      <c r="H44">
        <v>24</v>
      </c>
      <c r="I44" s="6">
        <f t="shared" ca="1" si="1"/>
        <v>45474.842169791664</v>
      </c>
      <c r="J44" s="6">
        <f t="shared" ca="1" si="1"/>
        <v>45474.842169791664</v>
      </c>
      <c r="K44" t="s">
        <v>1553</v>
      </c>
      <c r="L44" t="s">
        <v>1514</v>
      </c>
      <c r="M44" t="s">
        <v>1467</v>
      </c>
    </row>
    <row r="45" spans="1:13" x14ac:dyDescent="0.25">
      <c r="A45" t="s">
        <v>1353</v>
      </c>
      <c r="B45" t="s">
        <v>1354</v>
      </c>
      <c r="C45" t="s">
        <v>1355</v>
      </c>
      <c r="D45" t="s">
        <v>778</v>
      </c>
      <c r="E45" s="11">
        <v>0.1666667</v>
      </c>
      <c r="F45" s="11">
        <v>0.1666667</v>
      </c>
      <c r="G45">
        <v>0</v>
      </c>
      <c r="H45">
        <v>24</v>
      </c>
      <c r="I45" s="6">
        <f t="shared" ca="1" si="1"/>
        <v>45474.842169791664</v>
      </c>
      <c r="J45" s="6">
        <f t="shared" ca="1" si="1"/>
        <v>45474.842169791664</v>
      </c>
      <c r="K45" t="s">
        <v>337</v>
      </c>
      <c r="L45" t="s">
        <v>1515</v>
      </c>
      <c r="M45" t="s">
        <v>1468</v>
      </c>
    </row>
    <row r="46" spans="1:13" x14ac:dyDescent="0.25">
      <c r="A46" t="s">
        <v>1356</v>
      </c>
      <c r="B46" t="s">
        <v>1357</v>
      </c>
      <c r="C46" t="s">
        <v>1358</v>
      </c>
      <c r="D46" t="s">
        <v>778</v>
      </c>
      <c r="E46">
        <v>1</v>
      </c>
      <c r="F46">
        <v>3</v>
      </c>
      <c r="G46">
        <v>0</v>
      </c>
      <c r="H46">
        <v>24</v>
      </c>
      <c r="I46" s="6">
        <f t="shared" ca="1" si="1"/>
        <v>45474.842169791664</v>
      </c>
      <c r="J46" s="6">
        <f t="shared" ca="1" si="1"/>
        <v>45474.842169791664</v>
      </c>
      <c r="K46" t="s">
        <v>337</v>
      </c>
      <c r="L46" t="s">
        <v>1516</v>
      </c>
      <c r="M46" t="s">
        <v>1469</v>
      </c>
    </row>
    <row r="47" spans="1:13" x14ac:dyDescent="0.25">
      <c r="A47" t="s">
        <v>1359</v>
      </c>
      <c r="B47" t="s">
        <v>1360</v>
      </c>
      <c r="C47" t="s">
        <v>1361</v>
      </c>
      <c r="D47" t="s">
        <v>778</v>
      </c>
      <c r="E47">
        <v>0.25</v>
      </c>
      <c r="F47">
        <v>0.25</v>
      </c>
      <c r="G47">
        <v>0</v>
      </c>
      <c r="H47">
        <v>24</v>
      </c>
      <c r="I47" s="6">
        <f t="shared" ca="1" si="1"/>
        <v>45474.842169791664</v>
      </c>
      <c r="J47" s="6">
        <f t="shared" ca="1" si="1"/>
        <v>45474.842169791664</v>
      </c>
      <c r="K47" t="s">
        <v>337</v>
      </c>
      <c r="L47" t="s">
        <v>1517</v>
      </c>
      <c r="M47" t="s">
        <v>1468</v>
      </c>
    </row>
    <row r="48" spans="1:13" x14ac:dyDescent="0.25">
      <c r="A48" t="s">
        <v>1362</v>
      </c>
      <c r="B48" t="s">
        <v>1363</v>
      </c>
      <c r="C48" t="s">
        <v>1364</v>
      </c>
      <c r="D48" t="s">
        <v>778</v>
      </c>
      <c r="E48">
        <v>0.25</v>
      </c>
      <c r="F48">
        <v>0.25</v>
      </c>
      <c r="G48">
        <v>0</v>
      </c>
      <c r="H48">
        <v>24</v>
      </c>
      <c r="I48" s="6">
        <f t="shared" ca="1" si="1"/>
        <v>45474.842169791664</v>
      </c>
      <c r="J48" s="6">
        <f t="shared" ca="1" si="1"/>
        <v>45474.842169791664</v>
      </c>
      <c r="K48" t="s">
        <v>337</v>
      </c>
      <c r="L48" t="s">
        <v>1518</v>
      </c>
      <c r="M48" t="s">
        <v>1468</v>
      </c>
    </row>
    <row r="49" spans="1:13" x14ac:dyDescent="0.25">
      <c r="A49" t="s">
        <v>1365</v>
      </c>
      <c r="B49" t="s">
        <v>1366</v>
      </c>
      <c r="C49" t="s">
        <v>1367</v>
      </c>
      <c r="D49" t="s">
        <v>778</v>
      </c>
      <c r="E49">
        <v>0.25</v>
      </c>
      <c r="F49">
        <v>0.25</v>
      </c>
      <c r="G49">
        <v>0</v>
      </c>
      <c r="H49">
        <v>24</v>
      </c>
      <c r="I49" s="6">
        <f t="shared" ca="1" si="1"/>
        <v>45474.842169791664</v>
      </c>
      <c r="J49" s="6">
        <f t="shared" ca="1" si="1"/>
        <v>45474.842169791664</v>
      </c>
      <c r="K49" t="s">
        <v>337</v>
      </c>
      <c r="L49" t="s">
        <v>1519</v>
      </c>
      <c r="M49" t="s">
        <v>1468</v>
      </c>
    </row>
    <row r="50" spans="1:13" x14ac:dyDescent="0.25">
      <c r="A50" t="s">
        <v>1368</v>
      </c>
      <c r="B50" t="s">
        <v>1369</v>
      </c>
      <c r="C50" t="s">
        <v>1370</v>
      </c>
      <c r="D50" t="s">
        <v>778</v>
      </c>
      <c r="E50">
        <v>0.25</v>
      </c>
      <c r="F50">
        <v>0.25</v>
      </c>
      <c r="G50">
        <v>0</v>
      </c>
      <c r="H50">
        <v>24</v>
      </c>
      <c r="I50" s="6">
        <f t="shared" ca="1" si="1"/>
        <v>45474.842169791664</v>
      </c>
      <c r="J50" s="6">
        <f t="shared" ca="1" si="1"/>
        <v>45474.842169791664</v>
      </c>
      <c r="K50" t="s">
        <v>337</v>
      </c>
      <c r="L50" t="s">
        <v>1520</v>
      </c>
      <c r="M50" t="s">
        <v>1469</v>
      </c>
    </row>
    <row r="51" spans="1:13" x14ac:dyDescent="0.25">
      <c r="A51" t="s">
        <v>1371</v>
      </c>
      <c r="B51" t="s">
        <v>1372</v>
      </c>
      <c r="C51" t="s">
        <v>1373</v>
      </c>
      <c r="D51" t="s">
        <v>778</v>
      </c>
      <c r="E51" s="11">
        <v>0.1666667</v>
      </c>
      <c r="F51" s="11">
        <v>0.1666667</v>
      </c>
      <c r="G51">
        <v>0</v>
      </c>
      <c r="H51">
        <v>24</v>
      </c>
      <c r="I51" s="6">
        <f t="shared" ca="1" si="1"/>
        <v>45474.842169791664</v>
      </c>
      <c r="J51" s="6">
        <f t="shared" ca="1" si="1"/>
        <v>45474.842169791664</v>
      </c>
      <c r="K51" t="s">
        <v>1553</v>
      </c>
      <c r="L51" t="s">
        <v>1521</v>
      </c>
      <c r="M51" t="s">
        <v>1467</v>
      </c>
    </row>
    <row r="52" spans="1:13" x14ac:dyDescent="0.25">
      <c r="A52" t="s">
        <v>1374</v>
      </c>
      <c r="B52" t="s">
        <v>1375</v>
      </c>
      <c r="C52" t="s">
        <v>1376</v>
      </c>
      <c r="D52" t="s">
        <v>778</v>
      </c>
      <c r="E52" s="11">
        <v>0.1666667</v>
      </c>
      <c r="F52" s="11">
        <v>0.1666667</v>
      </c>
      <c r="G52">
        <v>0</v>
      </c>
      <c r="H52">
        <v>24</v>
      </c>
      <c r="I52" s="6">
        <f t="shared" ca="1" si="1"/>
        <v>45474.842169791664</v>
      </c>
      <c r="J52" s="6">
        <f t="shared" ca="1" si="1"/>
        <v>45474.842169791664</v>
      </c>
      <c r="K52" t="s">
        <v>337</v>
      </c>
      <c r="L52" t="s">
        <v>1522</v>
      </c>
      <c r="M52" t="s">
        <v>1468</v>
      </c>
    </row>
    <row r="53" spans="1:13" x14ac:dyDescent="0.25">
      <c r="A53" t="s">
        <v>1377</v>
      </c>
      <c r="B53" t="s">
        <v>1378</v>
      </c>
      <c r="C53" t="s">
        <v>1379</v>
      </c>
      <c r="D53" t="s">
        <v>778</v>
      </c>
      <c r="E53">
        <v>0.5</v>
      </c>
      <c r="F53" s="11">
        <v>0.5</v>
      </c>
      <c r="G53">
        <v>0</v>
      </c>
      <c r="H53">
        <v>24</v>
      </c>
      <c r="I53" s="6">
        <f t="shared" ca="1" si="1"/>
        <v>45474.842169791664</v>
      </c>
      <c r="J53" s="6">
        <f t="shared" ca="1" si="1"/>
        <v>45474.842169791664</v>
      </c>
      <c r="K53" t="s">
        <v>337</v>
      </c>
      <c r="L53" t="s">
        <v>1523</v>
      </c>
      <c r="M53" t="s">
        <v>1468</v>
      </c>
    </row>
    <row r="54" spans="1:13" x14ac:dyDescent="0.25">
      <c r="A54" t="s">
        <v>1380</v>
      </c>
      <c r="B54" t="s">
        <v>1381</v>
      </c>
      <c r="C54" t="s">
        <v>1382</v>
      </c>
      <c r="D54" t="s">
        <v>778</v>
      </c>
      <c r="E54">
        <v>0.5</v>
      </c>
      <c r="F54" s="11">
        <v>0.5</v>
      </c>
      <c r="G54">
        <v>0</v>
      </c>
      <c r="H54">
        <v>24</v>
      </c>
      <c r="I54" s="6">
        <f t="shared" ca="1" si="1"/>
        <v>45474.842169791664</v>
      </c>
      <c r="J54" s="6">
        <f t="shared" ca="1" si="1"/>
        <v>45474.842169791664</v>
      </c>
      <c r="K54" t="s">
        <v>337</v>
      </c>
      <c r="L54" t="s">
        <v>1524</v>
      </c>
      <c r="M54" t="s">
        <v>1468</v>
      </c>
    </row>
    <row r="55" spans="1:13" x14ac:dyDescent="0.25">
      <c r="A55" t="s">
        <v>1383</v>
      </c>
      <c r="B55" t="s">
        <v>1384</v>
      </c>
      <c r="C55" t="s">
        <v>1385</v>
      </c>
      <c r="D55" t="s">
        <v>778</v>
      </c>
      <c r="E55">
        <v>0.75</v>
      </c>
      <c r="F55">
        <v>0.75</v>
      </c>
      <c r="G55">
        <v>0</v>
      </c>
      <c r="H55">
        <v>24</v>
      </c>
      <c r="I55" s="6">
        <f t="shared" ca="1" si="1"/>
        <v>45474.842169791664</v>
      </c>
      <c r="J55" s="6">
        <f t="shared" ca="1" si="1"/>
        <v>45474.842169791664</v>
      </c>
      <c r="K55" t="s">
        <v>337</v>
      </c>
      <c r="L55" t="s">
        <v>1525</v>
      </c>
      <c r="M55" t="s">
        <v>1469</v>
      </c>
    </row>
    <row r="56" spans="1:13" x14ac:dyDescent="0.25">
      <c r="A56" t="s">
        <v>1386</v>
      </c>
      <c r="B56" t="s">
        <v>1387</v>
      </c>
      <c r="C56" t="s">
        <v>1388</v>
      </c>
      <c r="D56" t="s">
        <v>778</v>
      </c>
      <c r="E56">
        <v>0.5</v>
      </c>
      <c r="F56" s="11">
        <v>0.5</v>
      </c>
      <c r="G56">
        <v>0</v>
      </c>
      <c r="H56">
        <v>24</v>
      </c>
      <c r="I56" s="6">
        <f t="shared" ca="1" si="1"/>
        <v>45474.842169791664</v>
      </c>
      <c r="J56" s="6">
        <f t="shared" ca="1" si="1"/>
        <v>45474.842169791664</v>
      </c>
      <c r="K56" t="s">
        <v>1553</v>
      </c>
      <c r="L56" t="s">
        <v>1526</v>
      </c>
      <c r="M56" t="s">
        <v>1467</v>
      </c>
    </row>
    <row r="57" spans="1:13" x14ac:dyDescent="0.25">
      <c r="A57" t="s">
        <v>1389</v>
      </c>
      <c r="B57" t="s">
        <v>1390</v>
      </c>
      <c r="C57" t="s">
        <v>1391</v>
      </c>
      <c r="D57" t="s">
        <v>778</v>
      </c>
      <c r="E57">
        <v>0.25</v>
      </c>
      <c r="F57">
        <v>0.25</v>
      </c>
      <c r="G57">
        <v>0</v>
      </c>
      <c r="H57">
        <v>24</v>
      </c>
      <c r="I57" s="6">
        <f t="shared" ca="1" si="1"/>
        <v>45474.842169791664</v>
      </c>
      <c r="J57" s="6">
        <f t="shared" ca="1" si="1"/>
        <v>45474.842169791664</v>
      </c>
      <c r="K57" t="s">
        <v>337</v>
      </c>
      <c r="L57" t="s">
        <v>1527</v>
      </c>
      <c r="M57" t="s">
        <v>1468</v>
      </c>
    </row>
    <row r="58" spans="1:13" x14ac:dyDescent="0.25">
      <c r="A58" t="s">
        <v>1392</v>
      </c>
      <c r="B58" t="s">
        <v>1393</v>
      </c>
      <c r="C58" t="s">
        <v>1394</v>
      </c>
      <c r="D58" t="s">
        <v>778</v>
      </c>
      <c r="E58">
        <v>0.25</v>
      </c>
      <c r="F58">
        <v>0.25</v>
      </c>
      <c r="G58">
        <v>0</v>
      </c>
      <c r="H58">
        <v>24</v>
      </c>
      <c r="I58" s="6">
        <f t="shared" ca="1" si="1"/>
        <v>45474.842169791664</v>
      </c>
      <c r="J58" s="6">
        <f t="shared" ca="1" si="1"/>
        <v>45474.842169791664</v>
      </c>
      <c r="K58" t="s">
        <v>337</v>
      </c>
      <c r="L58" t="s">
        <v>1528</v>
      </c>
      <c r="M58" t="s">
        <v>1468</v>
      </c>
    </row>
    <row r="59" spans="1:13" x14ac:dyDescent="0.25">
      <c r="A59" t="s">
        <v>1395</v>
      </c>
      <c r="B59" t="s">
        <v>1396</v>
      </c>
      <c r="C59" t="s">
        <v>1397</v>
      </c>
      <c r="D59" t="s">
        <v>1113</v>
      </c>
      <c r="E59">
        <v>3</v>
      </c>
      <c r="F59">
        <v>3</v>
      </c>
      <c r="G59">
        <v>0</v>
      </c>
      <c r="H59">
        <v>24</v>
      </c>
      <c r="I59" s="6">
        <f t="shared" ca="1" si="1"/>
        <v>45474.842169791664</v>
      </c>
      <c r="J59" s="6">
        <f t="shared" ca="1" si="1"/>
        <v>45474.842169791664</v>
      </c>
      <c r="K59" t="s">
        <v>337</v>
      </c>
      <c r="L59" t="s">
        <v>1529</v>
      </c>
    </row>
    <row r="60" spans="1:13" x14ac:dyDescent="0.25">
      <c r="A60" t="s">
        <v>1398</v>
      </c>
      <c r="B60" t="s">
        <v>1399</v>
      </c>
      <c r="C60" t="s">
        <v>1400</v>
      </c>
      <c r="D60" t="s">
        <v>1114</v>
      </c>
      <c r="E60">
        <v>3</v>
      </c>
      <c r="F60">
        <v>3</v>
      </c>
      <c r="G60">
        <v>0</v>
      </c>
      <c r="H60">
        <v>24</v>
      </c>
      <c r="I60" s="6">
        <f t="shared" ca="1" si="1"/>
        <v>45474.842169791664</v>
      </c>
      <c r="J60" s="6">
        <f t="shared" ca="1" si="1"/>
        <v>45474.842169791664</v>
      </c>
      <c r="K60" t="s">
        <v>337</v>
      </c>
      <c r="L60" t="s">
        <v>1530</v>
      </c>
    </row>
    <row r="61" spans="1:13" x14ac:dyDescent="0.25">
      <c r="A61" t="s">
        <v>1401</v>
      </c>
      <c r="B61" t="s">
        <v>1402</v>
      </c>
      <c r="C61" t="s">
        <v>1403</v>
      </c>
      <c r="D61" t="s">
        <v>1115</v>
      </c>
      <c r="E61">
        <v>3</v>
      </c>
      <c r="F61">
        <v>3</v>
      </c>
      <c r="G61">
        <v>0</v>
      </c>
      <c r="H61">
        <v>24</v>
      </c>
      <c r="I61" s="6">
        <f t="shared" ca="1" si="1"/>
        <v>45474.842169791664</v>
      </c>
      <c r="J61" s="6">
        <f t="shared" ca="1" si="1"/>
        <v>45474.842169791664</v>
      </c>
      <c r="K61" t="s">
        <v>337</v>
      </c>
      <c r="L61" t="s">
        <v>1531</v>
      </c>
    </row>
    <row r="62" spans="1:13" x14ac:dyDescent="0.25">
      <c r="A62" t="s">
        <v>1404</v>
      </c>
      <c r="B62" t="s">
        <v>1405</v>
      </c>
      <c r="C62" t="s">
        <v>1406</v>
      </c>
      <c r="D62" t="s">
        <v>1116</v>
      </c>
      <c r="E62">
        <v>3</v>
      </c>
      <c r="F62">
        <v>3</v>
      </c>
      <c r="G62">
        <v>0</v>
      </c>
      <c r="H62">
        <v>24</v>
      </c>
      <c r="I62" s="6">
        <f t="shared" ca="1" si="1"/>
        <v>45474.842169791664</v>
      </c>
      <c r="J62" s="6">
        <f t="shared" ca="1" si="1"/>
        <v>45474.842169791664</v>
      </c>
      <c r="K62" t="s">
        <v>337</v>
      </c>
      <c r="L62" t="s">
        <v>1532</v>
      </c>
    </row>
    <row r="63" spans="1:13" x14ac:dyDescent="0.25">
      <c r="A63" t="s">
        <v>1407</v>
      </c>
      <c r="B63" t="s">
        <v>1408</v>
      </c>
      <c r="C63" t="s">
        <v>1409</v>
      </c>
      <c r="D63" t="s">
        <v>1224</v>
      </c>
      <c r="E63">
        <v>3</v>
      </c>
      <c r="F63">
        <v>3</v>
      </c>
      <c r="G63">
        <v>0</v>
      </c>
      <c r="H63">
        <v>24</v>
      </c>
      <c r="I63" s="6">
        <f t="shared" ca="1" si="1"/>
        <v>45474.842169791664</v>
      </c>
      <c r="J63" s="6">
        <f t="shared" ca="1" si="1"/>
        <v>45474.842169791664</v>
      </c>
      <c r="K63" t="s">
        <v>337</v>
      </c>
      <c r="L63" t="s">
        <v>1533</v>
      </c>
    </row>
    <row r="64" spans="1:13" x14ac:dyDescent="0.25">
      <c r="A64" t="s">
        <v>1410</v>
      </c>
      <c r="B64" t="s">
        <v>1411</v>
      </c>
      <c r="C64" t="s">
        <v>1412</v>
      </c>
      <c r="D64" t="s">
        <v>1226</v>
      </c>
      <c r="E64">
        <v>3</v>
      </c>
      <c r="F64">
        <v>3</v>
      </c>
      <c r="G64">
        <v>0</v>
      </c>
      <c r="H64">
        <v>24</v>
      </c>
      <c r="I64" s="6">
        <f t="shared" ca="1" si="1"/>
        <v>45474.842169791664</v>
      </c>
      <c r="J64" s="6">
        <f t="shared" ca="1" si="1"/>
        <v>45474.842169791664</v>
      </c>
      <c r="K64" t="s">
        <v>337</v>
      </c>
      <c r="L64" t="s">
        <v>1534</v>
      </c>
    </row>
    <row r="65" spans="1:13" x14ac:dyDescent="0.25">
      <c r="A65" t="s">
        <v>1413</v>
      </c>
      <c r="B65" t="s">
        <v>1414</v>
      </c>
      <c r="C65" t="s">
        <v>1415</v>
      </c>
      <c r="D65" t="s">
        <v>1228</v>
      </c>
      <c r="E65">
        <v>0.5</v>
      </c>
      <c r="F65" s="11">
        <v>0.5</v>
      </c>
      <c r="G65">
        <v>0</v>
      </c>
      <c r="H65">
        <v>24</v>
      </c>
      <c r="I65" s="6">
        <f t="shared" ca="1" si="1"/>
        <v>45474.842169791664</v>
      </c>
      <c r="J65" s="6">
        <f t="shared" ca="1" si="1"/>
        <v>45474.842169791664</v>
      </c>
      <c r="K65" t="s">
        <v>1553</v>
      </c>
      <c r="L65" t="s">
        <v>1535</v>
      </c>
      <c r="M65" t="s">
        <v>1466</v>
      </c>
    </row>
    <row r="66" spans="1:13" x14ac:dyDescent="0.25">
      <c r="A66" t="s">
        <v>1416</v>
      </c>
      <c r="B66" t="s">
        <v>1417</v>
      </c>
      <c r="C66" t="s">
        <v>1418</v>
      </c>
      <c r="D66" t="s">
        <v>1228</v>
      </c>
      <c r="E66">
        <v>0.25</v>
      </c>
      <c r="F66">
        <v>3</v>
      </c>
      <c r="G66">
        <v>0</v>
      </c>
      <c r="H66">
        <v>24</v>
      </c>
      <c r="I66" s="6">
        <f t="shared" ca="1" si="1"/>
        <v>45474.842169791664</v>
      </c>
      <c r="J66" s="6">
        <f t="shared" ca="1" si="1"/>
        <v>45474.842169791664</v>
      </c>
      <c r="K66" t="s">
        <v>1553</v>
      </c>
      <c r="L66" t="s">
        <v>1536</v>
      </c>
      <c r="M66" t="s">
        <v>1466</v>
      </c>
    </row>
    <row r="67" spans="1:13" x14ac:dyDescent="0.25">
      <c r="A67" t="s">
        <v>1419</v>
      </c>
      <c r="B67" t="s">
        <v>1420</v>
      </c>
      <c r="C67" t="s">
        <v>1421</v>
      </c>
      <c r="D67" t="s">
        <v>1228</v>
      </c>
      <c r="E67">
        <v>0.1666667</v>
      </c>
      <c r="F67" s="11">
        <v>0.1666667</v>
      </c>
      <c r="G67">
        <v>0</v>
      </c>
      <c r="H67">
        <v>24</v>
      </c>
      <c r="I67" s="6">
        <f t="shared" ca="1" si="1"/>
        <v>45474.842169791664</v>
      </c>
      <c r="J67" s="6">
        <f t="shared" ca="1" si="1"/>
        <v>45474.842169791664</v>
      </c>
      <c r="K67" t="s">
        <v>1553</v>
      </c>
      <c r="L67" t="s">
        <v>1537</v>
      </c>
      <c r="M67" t="s">
        <v>1466</v>
      </c>
    </row>
    <row r="68" spans="1:13" x14ac:dyDescent="0.25">
      <c r="A68" t="s">
        <v>1422</v>
      </c>
      <c r="B68" t="s">
        <v>1423</v>
      </c>
      <c r="C68" t="s">
        <v>1424</v>
      </c>
      <c r="D68" t="s">
        <v>1228</v>
      </c>
      <c r="E68">
        <v>0.5</v>
      </c>
      <c r="F68">
        <v>3</v>
      </c>
      <c r="G68">
        <v>0</v>
      </c>
      <c r="H68">
        <v>24</v>
      </c>
      <c r="I68" s="6">
        <f t="shared" ca="1" si="1"/>
        <v>45474.842169791664</v>
      </c>
      <c r="J68" s="6">
        <f t="shared" ca="1" si="1"/>
        <v>45474.842169791664</v>
      </c>
      <c r="K68" t="s">
        <v>337</v>
      </c>
      <c r="L68" t="s">
        <v>1538</v>
      </c>
      <c r="M68" t="s">
        <v>1468</v>
      </c>
    </row>
    <row r="69" spans="1:13" x14ac:dyDescent="0.25">
      <c r="A69" t="s">
        <v>1425</v>
      </c>
      <c r="B69" t="s">
        <v>1426</v>
      </c>
      <c r="C69" t="s">
        <v>1427</v>
      </c>
      <c r="D69" t="s">
        <v>1230</v>
      </c>
      <c r="E69">
        <v>0.25</v>
      </c>
      <c r="F69">
        <v>0.25</v>
      </c>
      <c r="G69">
        <v>0</v>
      </c>
      <c r="H69">
        <v>24</v>
      </c>
      <c r="I69" s="6">
        <f t="shared" ca="1" si="1"/>
        <v>45474.842169791664</v>
      </c>
      <c r="J69" s="6">
        <f t="shared" ca="1" si="1"/>
        <v>45474.842169791664</v>
      </c>
      <c r="K69" t="s">
        <v>337</v>
      </c>
      <c r="L69" t="s">
        <v>1539</v>
      </c>
      <c r="M69" t="s">
        <v>1468</v>
      </c>
    </row>
    <row r="70" spans="1:13" x14ac:dyDescent="0.25">
      <c r="A70" t="s">
        <v>1428</v>
      </c>
      <c r="B70" t="s">
        <v>1429</v>
      </c>
      <c r="C70" t="s">
        <v>1430</v>
      </c>
      <c r="D70" t="s">
        <v>1230</v>
      </c>
      <c r="E70">
        <v>0.25</v>
      </c>
      <c r="F70">
        <v>0.25</v>
      </c>
      <c r="G70">
        <v>0</v>
      </c>
      <c r="H70">
        <v>24</v>
      </c>
      <c r="I70" s="6">
        <f t="shared" ca="1" si="1"/>
        <v>45474.842169791664</v>
      </c>
      <c r="J70" s="6">
        <f t="shared" ca="1" si="1"/>
        <v>45474.842169791664</v>
      </c>
      <c r="K70" t="s">
        <v>337</v>
      </c>
      <c r="L70" t="s">
        <v>1540</v>
      </c>
      <c r="M70" t="s">
        <v>1468</v>
      </c>
    </row>
    <row r="71" spans="1:13" x14ac:dyDescent="0.25">
      <c r="A71" t="s">
        <v>1431</v>
      </c>
      <c r="B71" t="s">
        <v>1432</v>
      </c>
      <c r="C71" t="s">
        <v>1433</v>
      </c>
      <c r="D71" t="s">
        <v>1230</v>
      </c>
      <c r="E71">
        <v>3</v>
      </c>
      <c r="F71">
        <v>3</v>
      </c>
      <c r="G71">
        <v>0</v>
      </c>
      <c r="H71">
        <v>24</v>
      </c>
      <c r="I71" s="6">
        <f t="shared" ref="I71:J82" ca="1" si="2">NOW()</f>
        <v>45474.842169791664</v>
      </c>
      <c r="J71" s="6">
        <f t="shared" ca="1" si="2"/>
        <v>45474.842169791664</v>
      </c>
      <c r="K71" t="s">
        <v>337</v>
      </c>
      <c r="L71" t="s">
        <v>1541</v>
      </c>
      <c r="M71" t="s">
        <v>1468</v>
      </c>
    </row>
    <row r="72" spans="1:13" x14ac:dyDescent="0.25">
      <c r="A72" t="s">
        <v>1434</v>
      </c>
      <c r="B72" t="s">
        <v>1435</v>
      </c>
      <c r="C72" t="s">
        <v>1436</v>
      </c>
      <c r="D72" t="s">
        <v>1230</v>
      </c>
      <c r="E72">
        <v>3</v>
      </c>
      <c r="F72">
        <v>3</v>
      </c>
      <c r="G72">
        <v>0</v>
      </c>
      <c r="H72">
        <v>24</v>
      </c>
      <c r="I72" s="6">
        <f t="shared" ca="1" si="2"/>
        <v>45474.842169791664</v>
      </c>
      <c r="J72" s="6">
        <f t="shared" ca="1" si="2"/>
        <v>45474.842169791664</v>
      </c>
      <c r="K72" t="s">
        <v>1553</v>
      </c>
      <c r="L72" t="s">
        <v>1542</v>
      </c>
      <c r="M72" t="s">
        <v>1466</v>
      </c>
    </row>
    <row r="73" spans="1:13" x14ac:dyDescent="0.25">
      <c r="A73" t="s">
        <v>1437</v>
      </c>
      <c r="B73" t="s">
        <v>1438</v>
      </c>
      <c r="C73" t="s">
        <v>1439</v>
      </c>
      <c r="D73" t="s">
        <v>1230</v>
      </c>
      <c r="E73">
        <v>3</v>
      </c>
      <c r="F73">
        <v>3</v>
      </c>
      <c r="G73">
        <v>0</v>
      </c>
      <c r="H73">
        <v>24</v>
      </c>
      <c r="I73" s="6">
        <f t="shared" ca="1" si="2"/>
        <v>45474.842169791664</v>
      </c>
      <c r="J73" s="6">
        <f t="shared" ca="1" si="2"/>
        <v>45474.842169791664</v>
      </c>
      <c r="K73" t="s">
        <v>337</v>
      </c>
      <c r="L73" t="s">
        <v>1543</v>
      </c>
      <c r="M73" t="s">
        <v>1468</v>
      </c>
    </row>
    <row r="74" spans="1:13" x14ac:dyDescent="0.25">
      <c r="A74" t="s">
        <v>1440</v>
      </c>
      <c r="B74" t="s">
        <v>1441</v>
      </c>
      <c r="C74" t="s">
        <v>1442</v>
      </c>
      <c r="D74" t="s">
        <v>1230</v>
      </c>
      <c r="E74">
        <v>3</v>
      </c>
      <c r="F74">
        <v>3</v>
      </c>
      <c r="G74">
        <v>0</v>
      </c>
      <c r="H74">
        <v>24</v>
      </c>
      <c r="I74" s="6">
        <f t="shared" ca="1" si="2"/>
        <v>45474.842169791664</v>
      </c>
      <c r="J74" s="6">
        <f t="shared" ca="1" si="2"/>
        <v>45474.842169791664</v>
      </c>
      <c r="K74" t="s">
        <v>337</v>
      </c>
      <c r="L74" t="s">
        <v>1544</v>
      </c>
      <c r="M74" t="s">
        <v>1468</v>
      </c>
    </row>
    <row r="75" spans="1:13" x14ac:dyDescent="0.25">
      <c r="A75" t="s">
        <v>1443</v>
      </c>
      <c r="B75" t="s">
        <v>1444</v>
      </c>
      <c r="C75" t="s">
        <v>1445</v>
      </c>
      <c r="D75" t="s">
        <v>1230</v>
      </c>
      <c r="E75">
        <v>3</v>
      </c>
      <c r="F75">
        <v>3</v>
      </c>
      <c r="G75">
        <v>0</v>
      </c>
      <c r="H75">
        <v>24</v>
      </c>
      <c r="I75" s="6">
        <f t="shared" ca="1" si="2"/>
        <v>45474.842169791664</v>
      </c>
      <c r="J75" s="6">
        <f t="shared" ca="1" si="2"/>
        <v>45474.842169791664</v>
      </c>
      <c r="K75" t="s">
        <v>337</v>
      </c>
      <c r="L75" t="s">
        <v>1545</v>
      </c>
      <c r="M75" t="s">
        <v>1469</v>
      </c>
    </row>
    <row r="76" spans="1:13" x14ac:dyDescent="0.25">
      <c r="A76" t="s">
        <v>1446</v>
      </c>
      <c r="B76" t="s">
        <v>1447</v>
      </c>
      <c r="C76" t="s">
        <v>1448</v>
      </c>
      <c r="D76" t="s">
        <v>1232</v>
      </c>
      <c r="E76">
        <v>0.5</v>
      </c>
      <c r="F76" s="11">
        <v>0.5</v>
      </c>
      <c r="G76">
        <v>0</v>
      </c>
      <c r="H76">
        <v>24</v>
      </c>
      <c r="I76" s="6">
        <f t="shared" ca="1" si="2"/>
        <v>45474.842169791664</v>
      </c>
      <c r="J76" s="6">
        <f t="shared" ca="1" si="2"/>
        <v>45474.842169791664</v>
      </c>
      <c r="K76" t="s">
        <v>1553</v>
      </c>
      <c r="L76" t="s">
        <v>1546</v>
      </c>
      <c r="M76" t="s">
        <v>1466</v>
      </c>
    </row>
    <row r="77" spans="1:13" x14ac:dyDescent="0.25">
      <c r="A77" t="s">
        <v>1449</v>
      </c>
      <c r="B77" t="s">
        <v>1450</v>
      </c>
      <c r="C77" t="s">
        <v>1451</v>
      </c>
      <c r="D77" t="s">
        <v>1232</v>
      </c>
      <c r="E77">
        <v>0.5</v>
      </c>
      <c r="F77" s="11">
        <v>0.5</v>
      </c>
      <c r="G77">
        <v>0</v>
      </c>
      <c r="H77">
        <v>24</v>
      </c>
      <c r="I77" s="6">
        <f t="shared" ca="1" si="2"/>
        <v>45474.842169791664</v>
      </c>
      <c r="J77" s="6">
        <f t="shared" ca="1" si="2"/>
        <v>45474.842169791664</v>
      </c>
      <c r="K77" t="s">
        <v>1553</v>
      </c>
      <c r="L77" t="s">
        <v>1547</v>
      </c>
      <c r="M77" t="s">
        <v>1466</v>
      </c>
    </row>
    <row r="78" spans="1:13" x14ac:dyDescent="0.25">
      <c r="A78" t="s">
        <v>1452</v>
      </c>
      <c r="B78" t="s">
        <v>1453</v>
      </c>
      <c r="C78" t="s">
        <v>1454</v>
      </c>
      <c r="D78" t="s">
        <v>1232</v>
      </c>
      <c r="E78">
        <v>0.25</v>
      </c>
      <c r="F78">
        <v>0.25</v>
      </c>
      <c r="G78">
        <v>0</v>
      </c>
      <c r="H78">
        <v>24</v>
      </c>
      <c r="I78" s="6">
        <f t="shared" ca="1" si="2"/>
        <v>45474.842169791664</v>
      </c>
      <c r="J78" s="6">
        <f t="shared" ca="1" si="2"/>
        <v>45474.842169791664</v>
      </c>
      <c r="K78" t="s">
        <v>1553</v>
      </c>
      <c r="L78" t="s">
        <v>1548</v>
      </c>
      <c r="M78" t="s">
        <v>1466</v>
      </c>
    </row>
    <row r="79" spans="1:13" x14ac:dyDescent="0.25">
      <c r="A79" t="s">
        <v>1455</v>
      </c>
      <c r="B79" t="s">
        <v>1456</v>
      </c>
      <c r="C79" t="s">
        <v>1257</v>
      </c>
      <c r="D79" t="s">
        <v>1232</v>
      </c>
      <c r="E79">
        <v>0.1666667</v>
      </c>
      <c r="F79" s="11">
        <v>0.1666667</v>
      </c>
      <c r="G79">
        <v>0</v>
      </c>
      <c r="H79">
        <v>24</v>
      </c>
      <c r="I79" s="6">
        <f t="shared" ca="1" si="2"/>
        <v>45474.842169791664</v>
      </c>
      <c r="J79" s="6">
        <f t="shared" ca="1" si="2"/>
        <v>45474.842169791664</v>
      </c>
      <c r="K79" t="s">
        <v>1553</v>
      </c>
      <c r="L79" t="s">
        <v>1549</v>
      </c>
      <c r="M79" t="s">
        <v>1467</v>
      </c>
    </row>
    <row r="80" spans="1:13" x14ac:dyDescent="0.25">
      <c r="A80" t="s">
        <v>1457</v>
      </c>
      <c r="B80" t="s">
        <v>1458</v>
      </c>
      <c r="C80" t="s">
        <v>1260</v>
      </c>
      <c r="D80" t="s">
        <v>1232</v>
      </c>
      <c r="E80">
        <v>0.5</v>
      </c>
      <c r="F80" s="11">
        <v>0.5</v>
      </c>
      <c r="G80">
        <v>0</v>
      </c>
      <c r="H80">
        <v>24</v>
      </c>
      <c r="I80" s="6">
        <f t="shared" ca="1" si="2"/>
        <v>45474.842169791664</v>
      </c>
      <c r="J80" s="6">
        <f t="shared" ca="1" si="2"/>
        <v>45474.842169791664</v>
      </c>
      <c r="K80" t="s">
        <v>1553</v>
      </c>
      <c r="L80" t="s">
        <v>1550</v>
      </c>
      <c r="M80" t="s">
        <v>1467</v>
      </c>
    </row>
    <row r="81" spans="1:13" x14ac:dyDescent="0.25">
      <c r="A81" t="s">
        <v>1459</v>
      </c>
      <c r="B81" t="s">
        <v>1460</v>
      </c>
      <c r="C81" t="s">
        <v>1461</v>
      </c>
      <c r="D81" t="s">
        <v>1232</v>
      </c>
      <c r="E81">
        <v>0.25</v>
      </c>
      <c r="F81">
        <v>0.25</v>
      </c>
      <c r="G81">
        <v>0</v>
      </c>
      <c r="H81">
        <v>24</v>
      </c>
      <c r="I81" s="6">
        <f t="shared" ca="1" si="2"/>
        <v>45474.842169791664</v>
      </c>
      <c r="J81" s="6">
        <f t="shared" ca="1" si="2"/>
        <v>45474.842169791664</v>
      </c>
      <c r="K81" t="s">
        <v>1553</v>
      </c>
      <c r="L81" t="s">
        <v>1551</v>
      </c>
      <c r="M81" t="s">
        <v>1466</v>
      </c>
    </row>
    <row r="82" spans="1:13" x14ac:dyDescent="0.25">
      <c r="A82" t="s">
        <v>1462</v>
      </c>
      <c r="B82" t="s">
        <v>1463</v>
      </c>
      <c r="C82" t="s">
        <v>1266</v>
      </c>
      <c r="D82" t="s">
        <v>1232</v>
      </c>
      <c r="E82">
        <v>0.25</v>
      </c>
      <c r="F82">
        <v>0.25</v>
      </c>
      <c r="G82">
        <v>0</v>
      </c>
      <c r="H82">
        <v>24</v>
      </c>
      <c r="I82" s="6">
        <f t="shared" ca="1" si="2"/>
        <v>45474.842169791664</v>
      </c>
      <c r="J82" s="6">
        <f t="shared" ca="1" si="2"/>
        <v>45474.842169791664</v>
      </c>
      <c r="K82" t="s">
        <v>337</v>
      </c>
      <c r="L82" t="s">
        <v>1552</v>
      </c>
      <c r="M82" t="s">
        <v>1468</v>
      </c>
    </row>
  </sheetData>
  <pageMargins left="0.7" right="0.7" top="0.75" bottom="0.75" header="0.3" footer="0.3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79"/>
  <sheetViews>
    <sheetView topLeftCell="A60" workbookViewId="0">
      <selection activeCell="A80" sqref="A80"/>
    </sheetView>
  </sheetViews>
  <sheetFormatPr defaultRowHeight="15" x14ac:dyDescent="0.25"/>
  <cols>
    <col min="1" max="1" width="122.5703125" customWidth="1"/>
    <col min="2" max="2" width="37" bestFit="1" customWidth="1"/>
  </cols>
  <sheetData>
    <row r="1" spans="1:1" x14ac:dyDescent="0.25">
      <c r="A1" t="s">
        <v>125</v>
      </c>
    </row>
    <row r="2" spans="1:1" ht="17.25" customHeight="1" x14ac:dyDescent="0.25">
      <c r="A2" s="4" t="s">
        <v>1554</v>
      </c>
    </row>
    <row r="3" spans="1:1" ht="17.25" customHeight="1" x14ac:dyDescent="0.25">
      <c r="A3" s="4" t="s">
        <v>1555</v>
      </c>
    </row>
    <row r="4" spans="1:1" ht="17.25" customHeight="1" x14ac:dyDescent="0.25">
      <c r="A4" s="4" t="s">
        <v>1556</v>
      </c>
    </row>
    <row r="5" spans="1:1" ht="17.25" customHeight="1" x14ac:dyDescent="0.25">
      <c r="A5" s="4" t="s">
        <v>1557</v>
      </c>
    </row>
    <row r="6" spans="1:1" ht="17.25" customHeight="1" x14ac:dyDescent="0.25">
      <c r="A6" s="4" t="s">
        <v>1558</v>
      </c>
    </row>
    <row r="7" spans="1:1" ht="17.25" customHeight="1" x14ac:dyDescent="0.25">
      <c r="A7" s="4" t="s">
        <v>1559</v>
      </c>
    </row>
    <row r="8" spans="1:1" ht="17.25" customHeight="1" x14ac:dyDescent="0.25">
      <c r="A8" s="4" t="s">
        <v>1560</v>
      </c>
    </row>
    <row r="9" spans="1:1" x14ac:dyDescent="0.25">
      <c r="A9" s="4" t="s">
        <v>1561</v>
      </c>
    </row>
    <row r="10" spans="1:1" x14ac:dyDescent="0.25">
      <c r="A10" s="4" t="s">
        <v>1562</v>
      </c>
    </row>
    <row r="11" spans="1:1" x14ac:dyDescent="0.25">
      <c r="A11" s="4" t="s">
        <v>1563</v>
      </c>
    </row>
    <row r="12" spans="1:1" x14ac:dyDescent="0.25">
      <c r="A12" s="4" t="s">
        <v>1564</v>
      </c>
    </row>
    <row r="13" spans="1:1" x14ac:dyDescent="0.25">
      <c r="A13" s="4" t="s">
        <v>1565</v>
      </c>
    </row>
    <row r="14" spans="1:1" x14ac:dyDescent="0.25">
      <c r="A14" s="4" t="s">
        <v>1566</v>
      </c>
    </row>
    <row r="15" spans="1:1" x14ac:dyDescent="0.25">
      <c r="A15" s="4" t="s">
        <v>1567</v>
      </c>
    </row>
    <row r="16" spans="1:1" x14ac:dyDescent="0.25">
      <c r="A16" s="4" t="s">
        <v>1568</v>
      </c>
    </row>
    <row r="17" spans="1:1" x14ac:dyDescent="0.25">
      <c r="A17" s="4" t="s">
        <v>1569</v>
      </c>
    </row>
    <row r="18" spans="1:1" x14ac:dyDescent="0.25">
      <c r="A18" s="4" t="s">
        <v>1570</v>
      </c>
    </row>
    <row r="19" spans="1:1" x14ac:dyDescent="0.25">
      <c r="A19" s="4" t="s">
        <v>1571</v>
      </c>
    </row>
    <row r="20" spans="1:1" x14ac:dyDescent="0.25">
      <c r="A20" s="4" t="s">
        <v>1572</v>
      </c>
    </row>
    <row r="21" spans="1:1" x14ac:dyDescent="0.25">
      <c r="A21" s="4" t="s">
        <v>1573</v>
      </c>
    </row>
    <row r="22" spans="1:1" x14ac:dyDescent="0.25">
      <c r="A22" s="4" t="s">
        <v>1574</v>
      </c>
    </row>
    <row r="23" spans="1:1" x14ac:dyDescent="0.25">
      <c r="A23" s="4" t="s">
        <v>1575</v>
      </c>
    </row>
    <row r="24" spans="1:1" x14ac:dyDescent="0.25">
      <c r="A24" s="4" t="s">
        <v>1576</v>
      </c>
    </row>
    <row r="25" spans="1:1" x14ac:dyDescent="0.25">
      <c r="A25" s="4" t="s">
        <v>1577</v>
      </c>
    </row>
    <row r="26" spans="1:1" x14ac:dyDescent="0.25">
      <c r="A26" s="4" t="s">
        <v>1578</v>
      </c>
    </row>
    <row r="27" spans="1:1" x14ac:dyDescent="0.25">
      <c r="A27" s="4" t="s">
        <v>1579</v>
      </c>
    </row>
    <row r="28" spans="1:1" x14ac:dyDescent="0.25">
      <c r="A28" s="4" t="s">
        <v>1580</v>
      </c>
    </row>
    <row r="29" spans="1:1" x14ac:dyDescent="0.25">
      <c r="A29" s="4" t="s">
        <v>1581</v>
      </c>
    </row>
    <row r="30" spans="1:1" x14ac:dyDescent="0.25">
      <c r="A30" s="4" t="s">
        <v>1582</v>
      </c>
    </row>
    <row r="31" spans="1:1" x14ac:dyDescent="0.25">
      <c r="A31" s="4" t="s">
        <v>1583</v>
      </c>
    </row>
    <row r="32" spans="1:1" x14ac:dyDescent="0.25">
      <c r="A32" s="4" t="s">
        <v>1584</v>
      </c>
    </row>
    <row r="33" spans="1:1" x14ac:dyDescent="0.25">
      <c r="A33" s="4" t="s">
        <v>1585</v>
      </c>
    </row>
    <row r="34" spans="1:1" x14ac:dyDescent="0.25">
      <c r="A34" s="4" t="s">
        <v>1586</v>
      </c>
    </row>
    <row r="35" spans="1:1" x14ac:dyDescent="0.25">
      <c r="A35" s="4" t="s">
        <v>1587</v>
      </c>
    </row>
    <row r="36" spans="1:1" x14ac:dyDescent="0.25">
      <c r="A36" s="4" t="s">
        <v>1588</v>
      </c>
    </row>
    <row r="37" spans="1:1" x14ac:dyDescent="0.25">
      <c r="A37" s="4" t="s">
        <v>1589</v>
      </c>
    </row>
    <row r="38" spans="1:1" x14ac:dyDescent="0.25">
      <c r="A38" s="4" t="s">
        <v>1590</v>
      </c>
    </row>
    <row r="39" spans="1:1" x14ac:dyDescent="0.25">
      <c r="A39" s="4" t="s">
        <v>1591</v>
      </c>
    </row>
    <row r="40" spans="1:1" x14ac:dyDescent="0.25">
      <c r="A40" s="4" t="s">
        <v>1592</v>
      </c>
    </row>
    <row r="41" spans="1:1" x14ac:dyDescent="0.25">
      <c r="A41" s="4" t="s">
        <v>1593</v>
      </c>
    </row>
    <row r="42" spans="1:1" x14ac:dyDescent="0.25">
      <c r="A42" s="4" t="s">
        <v>1554</v>
      </c>
    </row>
    <row r="43" spans="1:1" x14ac:dyDescent="0.25">
      <c r="A43" s="4" t="s">
        <v>1554</v>
      </c>
    </row>
    <row r="44" spans="1:1" x14ac:dyDescent="0.25">
      <c r="A44" s="4" t="s">
        <v>1594</v>
      </c>
    </row>
    <row r="45" spans="1:1" x14ac:dyDescent="0.25">
      <c r="A45" s="4" t="s">
        <v>1595</v>
      </c>
    </row>
    <row r="46" spans="1:1" x14ac:dyDescent="0.25">
      <c r="A46" s="4" t="s">
        <v>1596</v>
      </c>
    </row>
    <row r="47" spans="1:1" x14ac:dyDescent="0.25">
      <c r="A47" s="4" t="s">
        <v>1597</v>
      </c>
    </row>
    <row r="48" spans="1:1" x14ac:dyDescent="0.25">
      <c r="A48" s="4" t="s">
        <v>1598</v>
      </c>
    </row>
    <row r="49" spans="1:1" x14ac:dyDescent="0.25">
      <c r="A49" s="4" t="s">
        <v>1599</v>
      </c>
    </row>
    <row r="50" spans="1:1" x14ac:dyDescent="0.25">
      <c r="A50" s="4" t="s">
        <v>1600</v>
      </c>
    </row>
    <row r="51" spans="1:1" x14ac:dyDescent="0.25">
      <c r="A51" s="4" t="s">
        <v>1601</v>
      </c>
    </row>
    <row r="52" spans="1:1" x14ac:dyDescent="0.25">
      <c r="A52" s="4" t="s">
        <v>1602</v>
      </c>
    </row>
    <row r="53" spans="1:1" x14ac:dyDescent="0.25">
      <c r="A53" s="4" t="s">
        <v>1603</v>
      </c>
    </row>
    <row r="54" spans="1:1" x14ac:dyDescent="0.25">
      <c r="A54" s="4" t="s">
        <v>1604</v>
      </c>
    </row>
    <row r="55" spans="1:1" x14ac:dyDescent="0.25">
      <c r="A55" s="4" t="s">
        <v>1605</v>
      </c>
    </row>
    <row r="56" spans="1:1" x14ac:dyDescent="0.25">
      <c r="A56" s="4" t="s">
        <v>1606</v>
      </c>
    </row>
    <row r="57" spans="1:1" x14ac:dyDescent="0.25">
      <c r="A57" s="4" t="s">
        <v>1607</v>
      </c>
    </row>
    <row r="58" spans="1:1" x14ac:dyDescent="0.25">
      <c r="A58" s="4" t="s">
        <v>1608</v>
      </c>
    </row>
    <row r="59" spans="1:1" x14ac:dyDescent="0.25">
      <c r="A59" s="4" t="s">
        <v>1609</v>
      </c>
    </row>
    <row r="60" spans="1:1" x14ac:dyDescent="0.25">
      <c r="A60" s="4" t="s">
        <v>1610</v>
      </c>
    </row>
    <row r="61" spans="1:1" x14ac:dyDescent="0.25">
      <c r="A61" s="4" t="s">
        <v>1611</v>
      </c>
    </row>
    <row r="62" spans="1:1" x14ac:dyDescent="0.25">
      <c r="A62" s="4" t="s">
        <v>1612</v>
      </c>
    </row>
    <row r="63" spans="1:1" x14ac:dyDescent="0.25">
      <c r="A63" s="4" t="s">
        <v>1613</v>
      </c>
    </row>
    <row r="64" spans="1:1" x14ac:dyDescent="0.25">
      <c r="A64" s="4" t="s">
        <v>1614</v>
      </c>
    </row>
    <row r="65" spans="1:1" x14ac:dyDescent="0.25">
      <c r="A65" s="4" t="s">
        <v>1615</v>
      </c>
    </row>
    <row r="66" spans="1:1" x14ac:dyDescent="0.25">
      <c r="A66" s="4" t="s">
        <v>1616</v>
      </c>
    </row>
    <row r="67" spans="1:1" x14ac:dyDescent="0.25">
      <c r="A67" s="4" t="s">
        <v>1617</v>
      </c>
    </row>
    <row r="68" spans="1:1" x14ac:dyDescent="0.25">
      <c r="A68" s="4" t="s">
        <v>1618</v>
      </c>
    </row>
    <row r="69" spans="1:1" x14ac:dyDescent="0.25">
      <c r="A69" s="4" t="s">
        <v>1619</v>
      </c>
    </row>
    <row r="70" spans="1:1" x14ac:dyDescent="0.25">
      <c r="A70" s="4" t="s">
        <v>1620</v>
      </c>
    </row>
    <row r="71" spans="1:1" x14ac:dyDescent="0.25">
      <c r="A71" s="4" t="s">
        <v>1621</v>
      </c>
    </row>
    <row r="72" spans="1:1" x14ac:dyDescent="0.25">
      <c r="A72" s="4" t="s">
        <v>1622</v>
      </c>
    </row>
    <row r="73" spans="1:1" x14ac:dyDescent="0.25">
      <c r="A73" s="4" t="s">
        <v>1623</v>
      </c>
    </row>
    <row r="74" spans="1:1" x14ac:dyDescent="0.25">
      <c r="A74" s="4" t="s">
        <v>1624</v>
      </c>
    </row>
    <row r="75" spans="1:1" x14ac:dyDescent="0.25">
      <c r="A75" s="4" t="s">
        <v>1625</v>
      </c>
    </row>
    <row r="76" spans="1:1" x14ac:dyDescent="0.25">
      <c r="A76" s="4" t="s">
        <v>1626</v>
      </c>
    </row>
    <row r="77" spans="1:1" x14ac:dyDescent="0.25">
      <c r="A77" s="4" t="s">
        <v>1627</v>
      </c>
    </row>
    <row r="78" spans="1:1" x14ac:dyDescent="0.25">
      <c r="A78" s="4" t="s">
        <v>1628</v>
      </c>
    </row>
    <row r="79" spans="1:1" x14ac:dyDescent="0.25">
      <c r="A79" s="4" t="s">
        <v>1162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N80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2" max="2" width="14.28515625" customWidth="1"/>
    <col min="3" max="3" width="21.7109375" customWidth="1"/>
    <col min="4" max="4" width="49" customWidth="1"/>
    <col min="5" max="5" width="36.7109375" bestFit="1" customWidth="1"/>
    <col min="6" max="6" width="20.42578125" customWidth="1"/>
    <col min="7" max="7" width="23.5703125" bestFit="1" customWidth="1"/>
    <col min="8" max="8" width="37" bestFit="1" customWidth="1"/>
    <col min="9" max="9" width="9.42578125" bestFit="1" customWidth="1"/>
    <col min="10" max="10" width="12.42578125" customWidth="1"/>
    <col min="11" max="11" width="12.5703125" customWidth="1"/>
    <col min="12" max="12" width="11.140625" customWidth="1"/>
    <col min="13" max="13" width="20.140625" customWidth="1"/>
    <col min="14" max="14" width="17.5703125" customWidth="1"/>
    <col min="15" max="15" width="12.85546875" customWidth="1"/>
    <col min="16" max="16" width="36.85546875" bestFit="1" customWidth="1"/>
  </cols>
  <sheetData>
    <row r="1" spans="1:14" x14ac:dyDescent="0.25">
      <c r="A1" t="s">
        <v>1629</v>
      </c>
    </row>
    <row r="2" spans="1:14" x14ac:dyDescent="0.25">
      <c r="M2" s="6"/>
      <c r="N2" s="6"/>
    </row>
    <row r="3" spans="1:14" x14ac:dyDescent="0.25">
      <c r="A3" t="s">
        <v>0</v>
      </c>
      <c r="B3" t="s">
        <v>1631</v>
      </c>
      <c r="C3" t="s">
        <v>194</v>
      </c>
      <c r="D3" t="s">
        <v>1632</v>
      </c>
      <c r="E3" t="s">
        <v>786</v>
      </c>
      <c r="F3" t="s">
        <v>1637</v>
      </c>
    </row>
    <row r="4" spans="1:14" x14ac:dyDescent="0.25">
      <c r="A4" t="s">
        <v>1633</v>
      </c>
      <c r="B4">
        <v>1</v>
      </c>
      <c r="C4" t="s">
        <v>1634</v>
      </c>
      <c r="D4" t="s">
        <v>1639</v>
      </c>
      <c r="E4" t="s">
        <v>1241</v>
      </c>
      <c r="F4">
        <v>0</v>
      </c>
      <c r="M4" s="6"/>
      <c r="N4" s="6"/>
    </row>
    <row r="5" spans="1:14" x14ac:dyDescent="0.25">
      <c r="A5" t="s">
        <v>1635</v>
      </c>
      <c r="B5">
        <v>2</v>
      </c>
      <c r="C5" t="s">
        <v>1636</v>
      </c>
      <c r="D5" t="s">
        <v>1640</v>
      </c>
      <c r="E5" t="s">
        <v>1241</v>
      </c>
      <c r="F5">
        <v>0</v>
      </c>
      <c r="M5" s="6"/>
      <c r="N5" s="6"/>
    </row>
    <row r="6" spans="1:14" x14ac:dyDescent="0.25">
      <c r="M6" s="6"/>
      <c r="N6" s="6"/>
    </row>
    <row r="7" spans="1:14" x14ac:dyDescent="0.25">
      <c r="M7" s="6"/>
      <c r="N7" s="6"/>
    </row>
    <row r="8" spans="1:14" x14ac:dyDescent="0.25">
      <c r="M8" s="6"/>
      <c r="N8" s="6"/>
    </row>
    <row r="9" spans="1:14" x14ac:dyDescent="0.25">
      <c r="I9" s="11"/>
      <c r="J9" s="11"/>
      <c r="M9" s="6"/>
      <c r="N9" s="6"/>
    </row>
    <row r="10" spans="1:14" x14ac:dyDescent="0.25">
      <c r="I10" s="11"/>
      <c r="J10" s="11"/>
      <c r="M10" s="6"/>
      <c r="N10" s="6"/>
    </row>
    <row r="11" spans="1:14" x14ac:dyDescent="0.25">
      <c r="M11" s="6"/>
      <c r="N11" s="6"/>
    </row>
    <row r="12" spans="1:14" x14ac:dyDescent="0.25">
      <c r="I12" s="11"/>
      <c r="J12" s="11"/>
      <c r="M12" s="6"/>
      <c r="N12" s="6"/>
    </row>
    <row r="13" spans="1:14" x14ac:dyDescent="0.25">
      <c r="I13" s="11"/>
      <c r="J13" s="11"/>
      <c r="M13" s="6"/>
      <c r="N13" s="6"/>
    </row>
    <row r="14" spans="1:14" x14ac:dyDescent="0.25">
      <c r="M14" s="6"/>
      <c r="N14" s="6"/>
    </row>
    <row r="15" spans="1:14" x14ac:dyDescent="0.25">
      <c r="I15" s="11"/>
      <c r="J15" s="11"/>
      <c r="M15" s="6"/>
      <c r="N15" s="6"/>
    </row>
    <row r="16" spans="1:14" x14ac:dyDescent="0.25">
      <c r="H16" s="11"/>
      <c r="I16" s="11"/>
      <c r="L16" s="6"/>
      <c r="M16" s="6"/>
    </row>
    <row r="17" spans="8:13" x14ac:dyDescent="0.25">
      <c r="H17" s="11"/>
      <c r="I17" s="11"/>
      <c r="L17" s="6"/>
      <c r="M17" s="6"/>
    </row>
    <row r="18" spans="8:13" x14ac:dyDescent="0.25">
      <c r="H18" s="11"/>
      <c r="I18" s="11"/>
      <c r="L18" s="6"/>
      <c r="M18" s="6"/>
    </row>
    <row r="19" spans="8:13" x14ac:dyDescent="0.25">
      <c r="I19" s="11"/>
      <c r="L19" s="6"/>
      <c r="M19" s="6"/>
    </row>
    <row r="20" spans="8:13" x14ac:dyDescent="0.25">
      <c r="L20" s="6"/>
      <c r="M20" s="6"/>
    </row>
    <row r="21" spans="8:13" x14ac:dyDescent="0.25">
      <c r="H21" s="11"/>
      <c r="I21" s="11"/>
      <c r="L21" s="6"/>
      <c r="M21" s="6"/>
    </row>
    <row r="22" spans="8:13" x14ac:dyDescent="0.25">
      <c r="I22" s="11"/>
      <c r="L22" s="6"/>
      <c r="M22" s="6"/>
    </row>
    <row r="23" spans="8:13" x14ac:dyDescent="0.25">
      <c r="L23" s="6"/>
      <c r="M23" s="6"/>
    </row>
    <row r="24" spans="8:13" x14ac:dyDescent="0.25">
      <c r="L24" s="6"/>
      <c r="M24" s="6"/>
    </row>
    <row r="25" spans="8:13" x14ac:dyDescent="0.25">
      <c r="H25" s="11"/>
      <c r="I25" s="11"/>
      <c r="L25" s="6"/>
      <c r="M25" s="6"/>
    </row>
    <row r="26" spans="8:13" x14ac:dyDescent="0.25">
      <c r="H26" s="11"/>
      <c r="I26" s="11"/>
      <c r="L26" s="6"/>
      <c r="M26" s="6"/>
    </row>
    <row r="27" spans="8:13" x14ac:dyDescent="0.25">
      <c r="H27" s="11"/>
      <c r="I27" s="11"/>
      <c r="L27" s="6"/>
      <c r="M27" s="6"/>
    </row>
    <row r="28" spans="8:13" x14ac:dyDescent="0.25">
      <c r="H28" s="11"/>
      <c r="I28" s="11"/>
      <c r="L28" s="6"/>
      <c r="M28" s="6"/>
    </row>
    <row r="29" spans="8:13" x14ac:dyDescent="0.25">
      <c r="H29" s="11"/>
      <c r="I29" s="11"/>
      <c r="L29" s="6"/>
      <c r="M29" s="6"/>
    </row>
    <row r="30" spans="8:13" x14ac:dyDescent="0.25">
      <c r="H30" s="11"/>
      <c r="I30" s="11"/>
      <c r="L30" s="6"/>
      <c r="M30" s="6"/>
    </row>
    <row r="31" spans="8:13" x14ac:dyDescent="0.25">
      <c r="H31" s="11"/>
      <c r="I31" s="11"/>
      <c r="L31" s="6"/>
      <c r="M31" s="6"/>
    </row>
    <row r="32" spans="8:13" x14ac:dyDescent="0.25">
      <c r="H32" s="11"/>
      <c r="I32" s="11"/>
      <c r="L32" s="6"/>
      <c r="M32" s="6"/>
    </row>
    <row r="33" spans="8:13" x14ac:dyDescent="0.25">
      <c r="H33" s="11"/>
      <c r="I33" s="11"/>
      <c r="L33" s="6"/>
      <c r="M33" s="6"/>
    </row>
    <row r="34" spans="8:13" x14ac:dyDescent="0.25">
      <c r="H34" s="11"/>
      <c r="I34" s="11"/>
      <c r="L34" s="6"/>
      <c r="M34" s="6"/>
    </row>
    <row r="35" spans="8:13" x14ac:dyDescent="0.25">
      <c r="H35" s="11"/>
      <c r="I35" s="11"/>
      <c r="L35" s="6"/>
      <c r="M35" s="6"/>
    </row>
    <row r="36" spans="8:13" x14ac:dyDescent="0.25">
      <c r="H36" s="11"/>
      <c r="I36" s="11"/>
      <c r="L36" s="6"/>
      <c r="M36" s="6"/>
    </row>
    <row r="37" spans="8:13" x14ac:dyDescent="0.25">
      <c r="H37" s="11"/>
      <c r="I37" s="11"/>
      <c r="L37" s="6"/>
      <c r="M37" s="6"/>
    </row>
    <row r="38" spans="8:13" x14ac:dyDescent="0.25">
      <c r="H38" s="11"/>
      <c r="I38" s="11"/>
      <c r="L38" s="6"/>
      <c r="M38" s="6"/>
    </row>
    <row r="39" spans="8:13" x14ac:dyDescent="0.25">
      <c r="H39" s="11"/>
      <c r="I39" s="11"/>
      <c r="L39" s="6"/>
      <c r="M39" s="6"/>
    </row>
    <row r="40" spans="8:13" x14ac:dyDescent="0.25">
      <c r="H40" s="11"/>
      <c r="I40" s="11"/>
      <c r="L40" s="6"/>
      <c r="M40" s="6"/>
    </row>
    <row r="41" spans="8:13" x14ac:dyDescent="0.25">
      <c r="H41" s="11"/>
      <c r="I41" s="11"/>
      <c r="L41" s="6"/>
      <c r="M41" s="6"/>
    </row>
    <row r="42" spans="8:13" x14ac:dyDescent="0.25">
      <c r="H42" s="11"/>
      <c r="I42" s="11"/>
      <c r="L42" s="6"/>
      <c r="M42" s="6"/>
    </row>
    <row r="43" spans="8:13" x14ac:dyDescent="0.25">
      <c r="H43" s="11"/>
      <c r="I43" s="11"/>
      <c r="L43" s="6"/>
      <c r="M43" s="6"/>
    </row>
    <row r="44" spans="8:13" x14ac:dyDescent="0.25">
      <c r="L44" s="6"/>
      <c r="M44" s="6"/>
    </row>
    <row r="45" spans="8:13" x14ac:dyDescent="0.25">
      <c r="L45" s="6"/>
      <c r="M45" s="6"/>
    </row>
    <row r="46" spans="8:13" x14ac:dyDescent="0.25">
      <c r="L46" s="6"/>
      <c r="M46" s="6"/>
    </row>
    <row r="47" spans="8:13" x14ac:dyDescent="0.25">
      <c r="L47" s="6"/>
      <c r="M47" s="6"/>
    </row>
    <row r="48" spans="8:13" x14ac:dyDescent="0.25">
      <c r="L48" s="6"/>
      <c r="M48" s="6"/>
    </row>
    <row r="49" spans="8:13" x14ac:dyDescent="0.25">
      <c r="H49" s="11"/>
      <c r="I49" s="11"/>
      <c r="L49" s="6"/>
      <c r="M49" s="6"/>
    </row>
    <row r="50" spans="8:13" x14ac:dyDescent="0.25">
      <c r="H50" s="11"/>
      <c r="I50" s="11"/>
      <c r="L50" s="6"/>
      <c r="M50" s="6"/>
    </row>
    <row r="51" spans="8:13" x14ac:dyDescent="0.25">
      <c r="I51" s="11"/>
      <c r="L51" s="6"/>
      <c r="M51" s="6"/>
    </row>
    <row r="52" spans="8:13" x14ac:dyDescent="0.25">
      <c r="I52" s="11"/>
      <c r="L52" s="6"/>
      <c r="M52" s="6"/>
    </row>
    <row r="53" spans="8:13" x14ac:dyDescent="0.25">
      <c r="L53" s="6"/>
      <c r="M53" s="6"/>
    </row>
    <row r="54" spans="8:13" x14ac:dyDescent="0.25">
      <c r="I54" s="11"/>
      <c r="L54" s="6"/>
      <c r="M54" s="6"/>
    </row>
    <row r="55" spans="8:13" x14ac:dyDescent="0.25">
      <c r="L55" s="6"/>
      <c r="M55" s="6"/>
    </row>
    <row r="56" spans="8:13" x14ac:dyDescent="0.25">
      <c r="L56" s="6"/>
      <c r="M56" s="6"/>
    </row>
    <row r="57" spans="8:13" x14ac:dyDescent="0.25">
      <c r="L57" s="6"/>
      <c r="M57" s="6"/>
    </row>
    <row r="58" spans="8:13" x14ac:dyDescent="0.25">
      <c r="L58" s="6"/>
      <c r="M58" s="6"/>
    </row>
    <row r="59" spans="8:13" x14ac:dyDescent="0.25">
      <c r="L59" s="6"/>
      <c r="M59" s="6"/>
    </row>
    <row r="60" spans="8:13" x14ac:dyDescent="0.25">
      <c r="L60" s="6"/>
      <c r="M60" s="6"/>
    </row>
    <row r="61" spans="8:13" x14ac:dyDescent="0.25">
      <c r="L61" s="6"/>
      <c r="M61" s="6"/>
    </row>
    <row r="62" spans="8:13" x14ac:dyDescent="0.25">
      <c r="L62" s="6"/>
      <c r="M62" s="6"/>
    </row>
    <row r="63" spans="8:13" x14ac:dyDescent="0.25">
      <c r="I63" s="11"/>
      <c r="L63" s="6"/>
      <c r="M63" s="6"/>
    </row>
    <row r="64" spans="8:13" x14ac:dyDescent="0.25">
      <c r="L64" s="6"/>
      <c r="M64" s="6"/>
    </row>
    <row r="65" spans="9:13" x14ac:dyDescent="0.25">
      <c r="I65" s="11"/>
      <c r="L65" s="6"/>
      <c r="M65" s="6"/>
    </row>
    <row r="66" spans="9:13" x14ac:dyDescent="0.25">
      <c r="L66" s="6"/>
      <c r="M66" s="6"/>
    </row>
    <row r="67" spans="9:13" x14ac:dyDescent="0.25">
      <c r="L67" s="6"/>
      <c r="M67" s="6"/>
    </row>
    <row r="68" spans="9:13" x14ac:dyDescent="0.25">
      <c r="L68" s="6"/>
      <c r="M68" s="6"/>
    </row>
    <row r="69" spans="9:13" x14ac:dyDescent="0.25">
      <c r="L69" s="6"/>
      <c r="M69" s="6"/>
    </row>
    <row r="70" spans="9:13" x14ac:dyDescent="0.25">
      <c r="L70" s="6"/>
      <c r="M70" s="6"/>
    </row>
    <row r="71" spans="9:13" x14ac:dyDescent="0.25">
      <c r="L71" s="6"/>
      <c r="M71" s="6"/>
    </row>
    <row r="72" spans="9:13" x14ac:dyDescent="0.25">
      <c r="L72" s="6"/>
      <c r="M72" s="6"/>
    </row>
    <row r="73" spans="9:13" x14ac:dyDescent="0.25">
      <c r="L73" s="6"/>
      <c r="M73" s="6"/>
    </row>
    <row r="74" spans="9:13" x14ac:dyDescent="0.25">
      <c r="I74" s="11"/>
      <c r="L74" s="6"/>
      <c r="M74" s="6"/>
    </row>
    <row r="75" spans="9:13" x14ac:dyDescent="0.25">
      <c r="I75" s="11"/>
      <c r="L75" s="6"/>
      <c r="M75" s="6"/>
    </row>
    <row r="76" spans="9:13" x14ac:dyDescent="0.25">
      <c r="L76" s="6"/>
      <c r="M76" s="6"/>
    </row>
    <row r="77" spans="9:13" x14ac:dyDescent="0.25">
      <c r="I77" s="11"/>
      <c r="L77" s="6"/>
      <c r="M77" s="6"/>
    </row>
    <row r="78" spans="9:13" x14ac:dyDescent="0.25">
      <c r="I78" s="11"/>
      <c r="L78" s="6"/>
      <c r="M78" s="6"/>
    </row>
    <row r="79" spans="9:13" x14ac:dyDescent="0.25">
      <c r="L79" s="6"/>
      <c r="M79" s="6"/>
    </row>
    <row r="80" spans="9:13" x14ac:dyDescent="0.25">
      <c r="L80" s="6"/>
      <c r="M80" s="6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0"/>
  <sheetViews>
    <sheetView workbookViewId="0">
      <selection activeCell="A11" sqref="A11"/>
    </sheetView>
  </sheetViews>
  <sheetFormatPr defaultRowHeight="15" x14ac:dyDescent="0.25"/>
  <cols>
    <col min="1" max="1" width="36.85546875" bestFit="1" customWidth="1"/>
    <col min="2" max="2" width="18.7109375" bestFit="1" customWidth="1"/>
    <col min="3" max="3" width="15" bestFit="1" customWidth="1"/>
    <col min="4" max="4" width="14.5703125" bestFit="1" customWidth="1"/>
    <col min="5" max="5" width="20.28515625" customWidth="1"/>
    <col min="6" max="6" width="20.5703125" customWidth="1"/>
    <col min="7" max="7" width="12.140625" bestFit="1" customWidth="1"/>
    <col min="8" max="8" width="15.28515625" bestFit="1" customWidth="1"/>
    <col min="9" max="9" width="36.85546875" bestFit="1" customWidth="1"/>
  </cols>
  <sheetData>
    <row r="1" spans="1:9" x14ac:dyDescent="0.25">
      <c r="A1" t="s">
        <v>811</v>
      </c>
    </row>
    <row r="2" spans="1:9" x14ac:dyDescent="0.25">
      <c r="E2" s="6"/>
      <c r="F2" s="6" t="s">
        <v>141</v>
      </c>
      <c r="H2" s="6"/>
      <c r="I2" t="s">
        <v>101</v>
      </c>
    </row>
    <row r="3" spans="1:9" x14ac:dyDescent="0.25">
      <c r="A3" t="s">
        <v>0</v>
      </c>
      <c r="B3" t="s">
        <v>820</v>
      </c>
      <c r="C3" t="s">
        <v>815</v>
      </c>
      <c r="D3" t="s">
        <v>818</v>
      </c>
      <c r="E3" t="s">
        <v>195</v>
      </c>
      <c r="F3" t="s">
        <v>817</v>
      </c>
      <c r="G3" t="s">
        <v>816</v>
      </c>
      <c r="H3" t="s">
        <v>774</v>
      </c>
      <c r="I3" t="s">
        <v>819</v>
      </c>
    </row>
    <row r="4" spans="1:9" x14ac:dyDescent="0.25">
      <c r="A4" t="s">
        <v>814</v>
      </c>
      <c r="B4">
        <v>2</v>
      </c>
      <c r="C4">
        <v>100</v>
      </c>
      <c r="D4" t="s">
        <v>821</v>
      </c>
      <c r="E4" s="6" t="s">
        <v>1171</v>
      </c>
      <c r="F4" s="6">
        <f ca="1">NOW()</f>
        <v>45474.842169791664</v>
      </c>
      <c r="G4">
        <v>0</v>
      </c>
      <c r="H4" s="6"/>
      <c r="I4" t="s">
        <v>804</v>
      </c>
    </row>
    <row r="5" spans="1:9" x14ac:dyDescent="0.25">
      <c r="A5" t="s">
        <v>826</v>
      </c>
      <c r="B5">
        <v>2</v>
      </c>
      <c r="C5">
        <v>100</v>
      </c>
      <c r="D5" t="s">
        <v>821</v>
      </c>
      <c r="E5" s="6" t="s">
        <v>1172</v>
      </c>
      <c r="F5" s="6">
        <f ca="1">NOW()</f>
        <v>45474.842169791664</v>
      </c>
      <c r="G5">
        <v>0</v>
      </c>
      <c r="H5" s="6"/>
      <c r="I5" t="s">
        <v>805</v>
      </c>
    </row>
    <row r="6" spans="1:9" x14ac:dyDescent="0.25">
      <c r="A6" t="s">
        <v>827</v>
      </c>
      <c r="B6">
        <v>2</v>
      </c>
      <c r="C6">
        <v>100</v>
      </c>
      <c r="D6" t="s">
        <v>821</v>
      </c>
      <c r="E6" s="6" t="s">
        <v>1173</v>
      </c>
      <c r="F6" s="6">
        <f ca="1">NOW()</f>
        <v>45474.842169791664</v>
      </c>
      <c r="G6">
        <v>0</v>
      </c>
      <c r="H6" s="6"/>
      <c r="I6" t="s">
        <v>805</v>
      </c>
    </row>
    <row r="7" spans="1:9" x14ac:dyDescent="0.25">
      <c r="A7" t="s">
        <v>830</v>
      </c>
      <c r="B7">
        <v>2</v>
      </c>
      <c r="C7">
        <v>100</v>
      </c>
      <c r="D7" t="s">
        <v>821</v>
      </c>
      <c r="E7" s="6" t="s">
        <v>1174</v>
      </c>
      <c r="F7" s="6">
        <f ca="1">NOW()</f>
        <v>45474.842169791664</v>
      </c>
      <c r="G7">
        <v>0</v>
      </c>
      <c r="H7" s="6"/>
      <c r="I7" t="s">
        <v>806</v>
      </c>
    </row>
    <row r="8" spans="1:9" x14ac:dyDescent="0.25">
      <c r="A8" t="s">
        <v>831</v>
      </c>
      <c r="B8">
        <v>2</v>
      </c>
      <c r="C8">
        <v>100</v>
      </c>
      <c r="D8" t="s">
        <v>821</v>
      </c>
      <c r="E8" s="6" t="s">
        <v>1174</v>
      </c>
      <c r="F8" s="6">
        <f ca="1">NOW()</f>
        <v>45474.842169791664</v>
      </c>
      <c r="G8">
        <v>0</v>
      </c>
      <c r="H8" s="6"/>
      <c r="I8" t="s">
        <v>807</v>
      </c>
    </row>
    <row r="9" spans="1:9" x14ac:dyDescent="0.25">
      <c r="A9" t="s">
        <v>1151</v>
      </c>
      <c r="B9">
        <v>2</v>
      </c>
      <c r="C9">
        <v>360000</v>
      </c>
      <c r="D9" t="s">
        <v>821</v>
      </c>
      <c r="E9" t="s">
        <v>1647</v>
      </c>
      <c r="F9" s="6">
        <f ca="1">NOW() -50</f>
        <v>45424.842169791664</v>
      </c>
      <c r="G9">
        <v>0</v>
      </c>
      <c r="H9" s="6"/>
      <c r="I9" t="s">
        <v>1661</v>
      </c>
    </row>
    <row r="10" spans="1:9" x14ac:dyDescent="0.25">
      <c r="A10" t="s">
        <v>1652</v>
      </c>
      <c r="B10">
        <v>2</v>
      </c>
      <c r="C10">
        <v>15000</v>
      </c>
      <c r="D10" t="s">
        <v>821</v>
      </c>
      <c r="E10" t="s">
        <v>1650</v>
      </c>
      <c r="F10" s="6">
        <f ca="1">NOW() -50</f>
        <v>45424.842169791664</v>
      </c>
      <c r="G10">
        <v>0</v>
      </c>
      <c r="H10" s="6"/>
      <c r="I10" t="s">
        <v>1662</v>
      </c>
    </row>
  </sheetData>
  <pageMargins left="0.7" right="0.7" top="0.75" bottom="0.75" header="0.3" footer="0.3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0"/>
  <sheetViews>
    <sheetView workbookViewId="0">
      <selection activeCell="A11" sqref="A11"/>
    </sheetView>
  </sheetViews>
  <sheetFormatPr defaultRowHeight="15" x14ac:dyDescent="0.25"/>
  <cols>
    <col min="1" max="1" width="36.85546875" bestFit="1" customWidth="1"/>
    <col min="2" max="2" width="16" customWidth="1"/>
    <col min="3" max="3" width="15" bestFit="1" customWidth="1"/>
    <col min="4" max="4" width="14.5703125" bestFit="1" customWidth="1"/>
    <col min="5" max="5" width="22.5703125" customWidth="1"/>
    <col min="6" max="6" width="36.7109375" bestFit="1" customWidth="1"/>
    <col min="7" max="7" width="14.28515625" customWidth="1"/>
    <col min="8" max="8" width="15.28515625" bestFit="1" customWidth="1"/>
    <col min="9" max="9" width="36.85546875" bestFit="1" customWidth="1"/>
  </cols>
  <sheetData>
    <row r="1" spans="1:9" x14ac:dyDescent="0.25">
      <c r="A1" t="s">
        <v>809</v>
      </c>
    </row>
    <row r="2" spans="1:9" x14ac:dyDescent="0.25">
      <c r="E2" s="6"/>
      <c r="F2" t="s">
        <v>101</v>
      </c>
      <c r="H2" s="6"/>
      <c r="I2" t="s">
        <v>101</v>
      </c>
    </row>
    <row r="3" spans="1:9" x14ac:dyDescent="0.25">
      <c r="A3" t="s">
        <v>0</v>
      </c>
      <c r="B3" t="s">
        <v>820</v>
      </c>
      <c r="C3" t="s">
        <v>815</v>
      </c>
      <c r="D3" t="s">
        <v>818</v>
      </c>
      <c r="E3" t="s">
        <v>195</v>
      </c>
      <c r="F3" t="s">
        <v>823</v>
      </c>
      <c r="G3" t="s">
        <v>775</v>
      </c>
      <c r="H3" t="s">
        <v>774</v>
      </c>
      <c r="I3" t="s">
        <v>819</v>
      </c>
    </row>
    <row r="4" spans="1:9" x14ac:dyDescent="0.25">
      <c r="A4" t="s">
        <v>822</v>
      </c>
      <c r="B4">
        <v>2</v>
      </c>
      <c r="C4">
        <v>100</v>
      </c>
      <c r="D4" t="s">
        <v>821</v>
      </c>
      <c r="E4" s="6" t="s">
        <v>1171</v>
      </c>
      <c r="F4" t="s">
        <v>814</v>
      </c>
      <c r="G4" t="s">
        <v>98</v>
      </c>
      <c r="H4" s="6" t="s">
        <v>1824</v>
      </c>
      <c r="I4" t="s">
        <v>804</v>
      </c>
    </row>
    <row r="5" spans="1:9" x14ac:dyDescent="0.25">
      <c r="A5" t="s">
        <v>828</v>
      </c>
      <c r="B5">
        <v>2</v>
      </c>
      <c r="C5">
        <v>100</v>
      </c>
      <c r="D5" t="s">
        <v>821</v>
      </c>
      <c r="E5" s="6" t="s">
        <v>1172</v>
      </c>
      <c r="F5" t="s">
        <v>826</v>
      </c>
      <c r="G5" t="s">
        <v>98</v>
      </c>
      <c r="H5" s="6" t="s">
        <v>1824</v>
      </c>
      <c r="I5" t="s">
        <v>805</v>
      </c>
    </row>
    <row r="6" spans="1:9" x14ac:dyDescent="0.25">
      <c r="A6" t="s">
        <v>829</v>
      </c>
      <c r="B6">
        <v>2</v>
      </c>
      <c r="C6">
        <v>100</v>
      </c>
      <c r="D6" t="s">
        <v>821</v>
      </c>
      <c r="E6" s="6" t="s">
        <v>1173</v>
      </c>
      <c r="F6" t="s">
        <v>827</v>
      </c>
      <c r="G6" t="s">
        <v>98</v>
      </c>
      <c r="H6" s="6" t="s">
        <v>1824</v>
      </c>
      <c r="I6" t="s">
        <v>805</v>
      </c>
    </row>
    <row r="7" spans="1:9" x14ac:dyDescent="0.25">
      <c r="A7" t="s">
        <v>832</v>
      </c>
      <c r="B7">
        <v>2</v>
      </c>
      <c r="C7">
        <v>100</v>
      </c>
      <c r="D7" t="s">
        <v>821</v>
      </c>
      <c r="E7" s="6" t="s">
        <v>1174</v>
      </c>
      <c r="F7" t="s">
        <v>830</v>
      </c>
      <c r="G7" t="s">
        <v>98</v>
      </c>
      <c r="H7" s="6" t="s">
        <v>1824</v>
      </c>
      <c r="I7" t="s">
        <v>806</v>
      </c>
    </row>
    <row r="8" spans="1:9" x14ac:dyDescent="0.25">
      <c r="A8" t="s">
        <v>833</v>
      </c>
      <c r="B8">
        <v>2</v>
      </c>
      <c r="C8">
        <v>100</v>
      </c>
      <c r="D8" t="s">
        <v>821</v>
      </c>
      <c r="E8" s="6" t="s">
        <v>1174</v>
      </c>
      <c r="F8" t="s">
        <v>831</v>
      </c>
      <c r="G8" t="s">
        <v>98</v>
      </c>
      <c r="H8" s="6" t="s">
        <v>1824</v>
      </c>
      <c r="I8" t="s">
        <v>807</v>
      </c>
    </row>
    <row r="9" spans="1:9" x14ac:dyDescent="0.25">
      <c r="A9" t="s">
        <v>1152</v>
      </c>
      <c r="B9">
        <v>2</v>
      </c>
      <c r="C9">
        <v>360000</v>
      </c>
      <c r="D9" t="s">
        <v>821</v>
      </c>
      <c r="E9" t="s">
        <v>1647</v>
      </c>
      <c r="F9" t="s">
        <v>1151</v>
      </c>
      <c r="G9" t="s">
        <v>98</v>
      </c>
      <c r="H9" s="6" t="s">
        <v>1824</v>
      </c>
      <c r="I9" t="s">
        <v>1661</v>
      </c>
    </row>
    <row r="10" spans="1:9" x14ac:dyDescent="0.25">
      <c r="A10" t="s">
        <v>1653</v>
      </c>
      <c r="B10">
        <v>2</v>
      </c>
      <c r="C10">
        <v>15000</v>
      </c>
      <c r="D10" t="s">
        <v>821</v>
      </c>
      <c r="E10" t="s">
        <v>1650</v>
      </c>
      <c r="F10" t="s">
        <v>1652</v>
      </c>
      <c r="G10" t="s">
        <v>98</v>
      </c>
      <c r="H10" s="6" t="s">
        <v>1824</v>
      </c>
      <c r="I10" t="s">
        <v>1662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5"/>
  <sheetViews>
    <sheetView workbookViewId="0">
      <selection activeCell="A6" sqref="A6"/>
    </sheetView>
  </sheetViews>
  <sheetFormatPr defaultRowHeight="15" x14ac:dyDescent="0.25"/>
  <cols>
    <col min="1" max="1" width="37.5703125" bestFit="1" customWidth="1"/>
    <col min="2" max="2" width="36.85546875" bestFit="1" customWidth="1"/>
    <col min="3" max="3" width="37.28515625" bestFit="1" customWidth="1"/>
  </cols>
  <sheetData>
    <row r="1" spans="1:4" x14ac:dyDescent="0.25">
      <c r="A1" t="s">
        <v>824</v>
      </c>
    </row>
    <row r="2" spans="1:4" x14ac:dyDescent="0.25">
      <c r="B2" t="s">
        <v>101</v>
      </c>
      <c r="C2" t="s">
        <v>101</v>
      </c>
    </row>
    <row r="3" spans="1:4" x14ac:dyDescent="0.25">
      <c r="A3" t="s">
        <v>0</v>
      </c>
      <c r="B3" t="s">
        <v>786</v>
      </c>
      <c r="C3" t="s">
        <v>825</v>
      </c>
      <c r="D3" t="s">
        <v>1169</v>
      </c>
    </row>
    <row r="4" spans="1:4" x14ac:dyDescent="0.25">
      <c r="A4" t="s">
        <v>1654</v>
      </c>
      <c r="B4" t="s">
        <v>1661</v>
      </c>
      <c r="C4" t="s">
        <v>1152</v>
      </c>
      <c r="D4" t="s">
        <v>1170</v>
      </c>
    </row>
    <row r="5" spans="1:4" x14ac:dyDescent="0.25">
      <c r="A5" t="s">
        <v>1655</v>
      </c>
      <c r="B5" t="s">
        <v>1662</v>
      </c>
      <c r="C5" t="s">
        <v>1653</v>
      </c>
      <c r="D5" t="s">
        <v>1170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9"/>
  <sheetViews>
    <sheetView workbookViewId="0">
      <selection activeCell="A20" sqref="A20"/>
    </sheetView>
  </sheetViews>
  <sheetFormatPr defaultRowHeight="15" x14ac:dyDescent="0.25"/>
  <cols>
    <col min="1" max="1" width="36.85546875" bestFit="1" customWidth="1"/>
    <col min="2" max="2" width="7.42578125" customWidth="1"/>
    <col min="3" max="3" width="20.42578125" customWidth="1"/>
    <col min="4" max="4" width="8" customWidth="1"/>
    <col min="5" max="5" width="12.5703125" customWidth="1"/>
    <col min="6" max="6" width="23.7109375" bestFit="1" customWidth="1"/>
    <col min="7" max="7" width="35.42578125" customWidth="1"/>
    <col min="8" max="8" width="11.28515625" customWidth="1"/>
    <col min="9" max="9" width="13.85546875" customWidth="1"/>
    <col min="10" max="10" width="30.85546875" bestFit="1" customWidth="1"/>
    <col min="11" max="11" width="12" style="13" customWidth="1"/>
    <col min="12" max="12" width="4.5703125" customWidth="1"/>
    <col min="13" max="13" width="5" customWidth="1"/>
    <col min="14" max="14" width="38.85546875" bestFit="1" customWidth="1"/>
    <col min="15" max="15" width="16.85546875" bestFit="1" customWidth="1"/>
    <col min="16" max="16" width="14.140625" customWidth="1"/>
    <col min="17" max="17" width="11.42578125" bestFit="1" customWidth="1"/>
    <col min="18" max="18" width="36.85546875" bestFit="1" customWidth="1"/>
    <col min="19" max="19" width="37" bestFit="1" customWidth="1"/>
  </cols>
  <sheetData>
    <row r="1" spans="1:15" x14ac:dyDescent="0.25">
      <c r="A1" t="s">
        <v>997</v>
      </c>
    </row>
    <row r="2" spans="1:15" x14ac:dyDescent="0.25">
      <c r="B2" t="s">
        <v>5</v>
      </c>
      <c r="D2" t="s">
        <v>5</v>
      </c>
      <c r="H2" t="s">
        <v>60</v>
      </c>
      <c r="N2" t="s">
        <v>101</v>
      </c>
      <c r="O2" s="6"/>
    </row>
    <row r="3" spans="1:15" x14ac:dyDescent="0.25">
      <c r="A3" t="s">
        <v>0</v>
      </c>
      <c r="B3" t="s">
        <v>753</v>
      </c>
      <c r="C3" t="s">
        <v>1</v>
      </c>
      <c r="D3" t="s">
        <v>1021</v>
      </c>
      <c r="E3" t="s">
        <v>1022</v>
      </c>
      <c r="F3" t="s">
        <v>2</v>
      </c>
      <c r="G3" t="s">
        <v>1001</v>
      </c>
      <c r="H3" t="s">
        <v>1002</v>
      </c>
      <c r="I3" t="s">
        <v>1023</v>
      </c>
      <c r="J3" t="s">
        <v>1024</v>
      </c>
      <c r="K3" s="13" t="s">
        <v>1025</v>
      </c>
      <c r="L3" t="s">
        <v>1026</v>
      </c>
      <c r="M3" t="s">
        <v>1027</v>
      </c>
      <c r="N3" t="s">
        <v>1031</v>
      </c>
    </row>
    <row r="4" spans="1:15" x14ac:dyDescent="0.25">
      <c r="A4" t="s">
        <v>1000</v>
      </c>
      <c r="B4">
        <v>0</v>
      </c>
      <c r="C4" t="s">
        <v>1007</v>
      </c>
      <c r="D4">
        <v>1</v>
      </c>
      <c r="E4" t="s">
        <v>1012</v>
      </c>
      <c r="F4" t="s">
        <v>1096</v>
      </c>
      <c r="G4" t="s">
        <v>1014</v>
      </c>
      <c r="H4">
        <v>9.99</v>
      </c>
      <c r="I4" t="s">
        <v>1028</v>
      </c>
      <c r="J4" s="12" t="s">
        <v>1093</v>
      </c>
      <c r="N4" s="6" t="s">
        <v>1095</v>
      </c>
      <c r="O4" s="6"/>
    </row>
    <row r="5" spans="1:15" x14ac:dyDescent="0.25">
      <c r="A5" t="s">
        <v>1003</v>
      </c>
      <c r="B5">
        <v>0</v>
      </c>
      <c r="C5" t="s">
        <v>1008</v>
      </c>
      <c r="D5">
        <v>1</v>
      </c>
      <c r="E5" t="s">
        <v>1012</v>
      </c>
      <c r="F5" t="s">
        <v>1097</v>
      </c>
      <c r="G5" t="s">
        <v>1015</v>
      </c>
      <c r="H5">
        <v>24.99</v>
      </c>
      <c r="I5" t="s">
        <v>1030</v>
      </c>
      <c r="N5" s="6" t="s">
        <v>1095</v>
      </c>
      <c r="O5" s="6"/>
    </row>
    <row r="6" spans="1:15" x14ac:dyDescent="0.25">
      <c r="A6" t="s">
        <v>1004</v>
      </c>
      <c r="B6">
        <v>0</v>
      </c>
      <c r="C6" t="s">
        <v>1009</v>
      </c>
      <c r="D6">
        <v>1</v>
      </c>
      <c r="E6" t="s">
        <v>1013</v>
      </c>
      <c r="F6" t="s">
        <v>1098</v>
      </c>
      <c r="G6" t="s">
        <v>1016</v>
      </c>
      <c r="H6">
        <v>120</v>
      </c>
      <c r="I6" t="s">
        <v>1029</v>
      </c>
      <c r="N6" s="6" t="s">
        <v>1094</v>
      </c>
      <c r="O6" s="6"/>
    </row>
    <row r="7" spans="1:15" x14ac:dyDescent="0.25">
      <c r="A7" t="s">
        <v>1005</v>
      </c>
      <c r="B7">
        <v>0</v>
      </c>
      <c r="C7" t="s">
        <v>1010</v>
      </c>
      <c r="D7">
        <v>1</v>
      </c>
      <c r="E7" t="s">
        <v>1013</v>
      </c>
      <c r="F7" t="s">
        <v>1099</v>
      </c>
      <c r="G7" t="s">
        <v>1017</v>
      </c>
      <c r="H7">
        <v>240</v>
      </c>
      <c r="N7" s="6" t="s">
        <v>1094</v>
      </c>
      <c r="O7" s="6"/>
    </row>
    <row r="8" spans="1:15" x14ac:dyDescent="0.25">
      <c r="A8" t="s">
        <v>1006</v>
      </c>
      <c r="B8">
        <v>0</v>
      </c>
      <c r="C8" t="s">
        <v>1011</v>
      </c>
      <c r="D8">
        <v>1</v>
      </c>
      <c r="E8" t="s">
        <v>1012</v>
      </c>
      <c r="F8" t="s">
        <v>1100</v>
      </c>
      <c r="G8" t="s">
        <v>1018</v>
      </c>
      <c r="H8">
        <v>0.01</v>
      </c>
      <c r="I8" t="s">
        <v>1030</v>
      </c>
      <c r="N8" s="6" t="s">
        <v>1095</v>
      </c>
      <c r="O8" s="6"/>
    </row>
    <row r="9" spans="1:15" x14ac:dyDescent="0.25">
      <c r="A9" t="s">
        <v>1036</v>
      </c>
      <c r="B9">
        <v>0</v>
      </c>
      <c r="C9" t="s">
        <v>1032</v>
      </c>
      <c r="D9">
        <v>0</v>
      </c>
      <c r="E9" t="s">
        <v>1012</v>
      </c>
      <c r="G9" t="s">
        <v>1033</v>
      </c>
      <c r="I9" t="s">
        <v>1034</v>
      </c>
      <c r="N9" s="6" t="s">
        <v>1095</v>
      </c>
    </row>
    <row r="10" spans="1:15" x14ac:dyDescent="0.25">
      <c r="A10" t="s">
        <v>1819</v>
      </c>
      <c r="B10">
        <v>0</v>
      </c>
      <c r="C10" t="s">
        <v>1822</v>
      </c>
      <c r="D10">
        <v>1</v>
      </c>
      <c r="E10" t="s">
        <v>1012</v>
      </c>
      <c r="F10" t="s">
        <v>1823</v>
      </c>
      <c r="G10" t="s">
        <v>1823</v>
      </c>
      <c r="H10">
        <v>10</v>
      </c>
      <c r="I10" t="s">
        <v>1824</v>
      </c>
      <c r="N10" s="6" t="s">
        <v>1095</v>
      </c>
    </row>
    <row r="11" spans="1:15" x14ac:dyDescent="0.25">
      <c r="A11" t="s">
        <v>1820</v>
      </c>
      <c r="B11">
        <v>0</v>
      </c>
      <c r="C11" t="s">
        <v>1825</v>
      </c>
      <c r="D11">
        <v>1</v>
      </c>
      <c r="E11" t="s">
        <v>1012</v>
      </c>
      <c r="F11" t="s">
        <v>1826</v>
      </c>
      <c r="G11" t="s">
        <v>1826</v>
      </c>
      <c r="H11">
        <v>30</v>
      </c>
      <c r="I11" t="s">
        <v>1824</v>
      </c>
      <c r="N11" s="6" t="s">
        <v>1095</v>
      </c>
    </row>
    <row r="12" spans="1:15" x14ac:dyDescent="0.25">
      <c r="A12" t="s">
        <v>1821</v>
      </c>
      <c r="B12">
        <v>0</v>
      </c>
      <c r="C12" t="s">
        <v>1827</v>
      </c>
      <c r="D12">
        <v>1</v>
      </c>
      <c r="E12" t="s">
        <v>1012</v>
      </c>
      <c r="F12" t="s">
        <v>1828</v>
      </c>
      <c r="G12" t="s">
        <v>1828</v>
      </c>
      <c r="H12">
        <v>50</v>
      </c>
      <c r="I12" t="s">
        <v>1824</v>
      </c>
      <c r="N12" s="6" t="s">
        <v>1095</v>
      </c>
    </row>
    <row r="13" spans="1:15" x14ac:dyDescent="0.25">
      <c r="A13" t="s">
        <v>1143</v>
      </c>
      <c r="B13">
        <v>0</v>
      </c>
      <c r="C13" t="s">
        <v>1145</v>
      </c>
      <c r="D13">
        <v>1</v>
      </c>
      <c r="E13" t="s">
        <v>1013</v>
      </c>
      <c r="F13" t="s">
        <v>1146</v>
      </c>
      <c r="G13" t="s">
        <v>1146</v>
      </c>
      <c r="H13">
        <v>75</v>
      </c>
      <c r="I13" t="s">
        <v>1126</v>
      </c>
      <c r="J13" s="12" t="s">
        <v>1127</v>
      </c>
      <c r="K13" s="13" t="s">
        <v>1147</v>
      </c>
      <c r="N13" s="6" t="s">
        <v>1094</v>
      </c>
    </row>
    <row r="14" spans="1:15" x14ac:dyDescent="0.25">
      <c r="A14" t="s">
        <v>1144</v>
      </c>
      <c r="B14">
        <v>0</v>
      </c>
      <c r="C14" t="s">
        <v>1149</v>
      </c>
      <c r="D14">
        <v>1</v>
      </c>
      <c r="E14" t="s">
        <v>1013</v>
      </c>
      <c r="F14" t="s">
        <v>1150</v>
      </c>
      <c r="G14" t="s">
        <v>1150</v>
      </c>
      <c r="H14">
        <v>75</v>
      </c>
      <c r="I14" t="s">
        <v>1126</v>
      </c>
      <c r="J14" s="12" t="s">
        <v>1127</v>
      </c>
      <c r="K14" s="13" t="s">
        <v>1148</v>
      </c>
      <c r="N14" s="6" t="s">
        <v>1094</v>
      </c>
    </row>
    <row r="15" spans="1:15" x14ac:dyDescent="0.25">
      <c r="A15" t="s">
        <v>1123</v>
      </c>
      <c r="B15">
        <v>0</v>
      </c>
      <c r="C15" t="s">
        <v>1124</v>
      </c>
      <c r="D15">
        <v>1</v>
      </c>
      <c r="E15" t="s">
        <v>1012</v>
      </c>
      <c r="F15" t="s">
        <v>1125</v>
      </c>
      <c r="G15" t="s">
        <v>1125</v>
      </c>
      <c r="H15">
        <v>9.0299999999999994</v>
      </c>
      <c r="I15" t="s">
        <v>1126</v>
      </c>
      <c r="J15" s="12" t="s">
        <v>1127</v>
      </c>
      <c r="K15" s="13">
        <v>1027078</v>
      </c>
      <c r="N15" s="6" t="s">
        <v>1095</v>
      </c>
      <c r="O15" s="6"/>
    </row>
    <row r="16" spans="1:15" x14ac:dyDescent="0.25">
      <c r="A16" t="s">
        <v>1128</v>
      </c>
      <c r="B16">
        <v>0</v>
      </c>
      <c r="C16" t="s">
        <v>1132</v>
      </c>
      <c r="D16">
        <v>1</v>
      </c>
      <c r="E16" t="s">
        <v>1012</v>
      </c>
      <c r="F16" t="s">
        <v>1133</v>
      </c>
      <c r="G16" t="s">
        <v>1133</v>
      </c>
      <c r="H16">
        <v>100</v>
      </c>
      <c r="I16" t="s">
        <v>1126</v>
      </c>
      <c r="J16" s="12" t="s">
        <v>1127</v>
      </c>
      <c r="K16" s="13">
        <v>1029663</v>
      </c>
      <c r="N16" s="6" t="s">
        <v>1095</v>
      </c>
      <c r="O16" s="6"/>
    </row>
    <row r="17" spans="1:15" x14ac:dyDescent="0.25">
      <c r="A17" t="s">
        <v>1129</v>
      </c>
      <c r="B17">
        <v>0</v>
      </c>
      <c r="C17" t="s">
        <v>1134</v>
      </c>
      <c r="D17">
        <v>1</v>
      </c>
      <c r="E17" t="s">
        <v>1012</v>
      </c>
      <c r="F17" t="s">
        <v>1135</v>
      </c>
      <c r="G17" t="s">
        <v>1135</v>
      </c>
      <c r="H17">
        <v>4.7</v>
      </c>
      <c r="I17" t="s">
        <v>1126</v>
      </c>
      <c r="J17" s="12" t="s">
        <v>1127</v>
      </c>
      <c r="K17" s="13" t="s">
        <v>1136</v>
      </c>
      <c r="N17" s="6" t="s">
        <v>1095</v>
      </c>
      <c r="O17" s="6"/>
    </row>
    <row r="18" spans="1:15" x14ac:dyDescent="0.25">
      <c r="A18" t="s">
        <v>1130</v>
      </c>
      <c r="B18">
        <v>0</v>
      </c>
      <c r="C18" t="s">
        <v>1137</v>
      </c>
      <c r="D18">
        <v>1</v>
      </c>
      <c r="E18" t="s">
        <v>1012</v>
      </c>
      <c r="F18" t="s">
        <v>1138</v>
      </c>
      <c r="G18" t="s">
        <v>1138</v>
      </c>
      <c r="H18">
        <v>2.7</v>
      </c>
      <c r="I18" t="s">
        <v>1126</v>
      </c>
      <c r="J18" s="12" t="s">
        <v>1127</v>
      </c>
      <c r="K18" s="13" t="s">
        <v>1139</v>
      </c>
      <c r="N18" s="6" t="s">
        <v>1095</v>
      </c>
      <c r="O18" s="6"/>
    </row>
    <row r="19" spans="1:15" x14ac:dyDescent="0.25">
      <c r="A19" t="s">
        <v>1131</v>
      </c>
      <c r="B19">
        <v>0</v>
      </c>
      <c r="C19" t="s">
        <v>1140</v>
      </c>
      <c r="D19">
        <v>1</v>
      </c>
      <c r="E19" t="s">
        <v>1012</v>
      </c>
      <c r="F19" t="s">
        <v>1141</v>
      </c>
      <c r="G19" t="s">
        <v>1141</v>
      </c>
      <c r="H19">
        <v>6.52</v>
      </c>
      <c r="I19" t="s">
        <v>1126</v>
      </c>
      <c r="J19" s="12" t="s">
        <v>1127</v>
      </c>
      <c r="K19" s="13" t="s">
        <v>1142</v>
      </c>
      <c r="N19" s="6" t="s">
        <v>1095</v>
      </c>
      <c r="O19" s="6"/>
    </row>
  </sheetData>
  <hyperlinks>
    <hyperlink ref="J4" r:id="rId1"/>
    <hyperlink ref="J15" r:id="rId2"/>
    <hyperlink ref="J16" r:id="rId3"/>
    <hyperlink ref="J17" r:id="rId4"/>
    <hyperlink ref="J18" r:id="rId5"/>
    <hyperlink ref="J19" r:id="rId6"/>
    <hyperlink ref="J13" r:id="rId7"/>
    <hyperlink ref="J14" r:id="rId8"/>
  </hyperlinks>
  <pageMargins left="0.7" right="0.7" top="0.75" bottom="0.75" header="0.3" footer="0.3"/>
  <pageSetup paperSize="9" orientation="portrait" r:id="rId9"/>
  <legacyDrawing r:id="rId1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5"/>
  <sheetViews>
    <sheetView workbookViewId="0">
      <selection activeCell="A6" sqref="A6"/>
    </sheetView>
  </sheetViews>
  <sheetFormatPr defaultRowHeight="15" x14ac:dyDescent="0.25"/>
  <cols>
    <col min="1" max="1" width="37.5703125" bestFit="1" customWidth="1"/>
    <col min="2" max="2" width="36.85546875" bestFit="1" customWidth="1"/>
    <col min="3" max="3" width="37.28515625" bestFit="1" customWidth="1"/>
    <col min="4" max="4" width="13.85546875" customWidth="1"/>
    <col min="5" max="5" width="11.85546875" customWidth="1"/>
  </cols>
  <sheetData>
    <row r="1" spans="1:5" x14ac:dyDescent="0.25">
      <c r="A1" t="s">
        <v>999</v>
      </c>
    </row>
    <row r="2" spans="1:5" x14ac:dyDescent="0.25">
      <c r="B2" t="s">
        <v>101</v>
      </c>
      <c r="C2" t="s">
        <v>101</v>
      </c>
      <c r="D2" t="s">
        <v>60</v>
      </c>
      <c r="E2" t="s">
        <v>60</v>
      </c>
    </row>
    <row r="3" spans="1:5" x14ac:dyDescent="0.25">
      <c r="A3" t="s">
        <v>0</v>
      </c>
      <c r="B3" t="s">
        <v>786</v>
      </c>
      <c r="C3" t="s">
        <v>997</v>
      </c>
      <c r="D3" t="s">
        <v>1020</v>
      </c>
      <c r="E3" t="s">
        <v>1002</v>
      </c>
    </row>
    <row r="4" spans="1:5" x14ac:dyDescent="0.25">
      <c r="A4" t="s">
        <v>1019</v>
      </c>
      <c r="B4" t="s">
        <v>1241</v>
      </c>
      <c r="C4" t="s">
        <v>1000</v>
      </c>
      <c r="D4">
        <v>12</v>
      </c>
      <c r="E4">
        <v>2.5</v>
      </c>
    </row>
    <row r="5" spans="1:5" x14ac:dyDescent="0.25">
      <c r="A5" t="s">
        <v>1035</v>
      </c>
      <c r="B5" t="s">
        <v>1241</v>
      </c>
      <c r="C5" t="s">
        <v>1036</v>
      </c>
      <c r="D5">
        <v>1</v>
      </c>
      <c r="E5">
        <v>456.5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N16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2" max="2" width="20.85546875" customWidth="1"/>
    <col min="3" max="3" width="39.140625" bestFit="1" customWidth="1"/>
    <col min="4" max="4" width="25.7109375" customWidth="1"/>
    <col min="5" max="5" width="39.140625" bestFit="1" customWidth="1"/>
    <col min="6" max="6" width="18.42578125" customWidth="1"/>
    <col min="7" max="7" width="18" bestFit="1" customWidth="1"/>
    <col min="8" max="8" width="13.85546875" customWidth="1"/>
    <col min="9" max="9" width="30.85546875" bestFit="1" customWidth="1"/>
    <col min="10" max="10" width="12" style="13" customWidth="1"/>
    <col min="11" max="11" width="4.5703125" customWidth="1"/>
    <col min="12" max="12" width="5" customWidth="1"/>
    <col min="13" max="13" width="38.85546875" bestFit="1" customWidth="1"/>
    <col min="14" max="14" width="16.85546875" bestFit="1" customWidth="1"/>
    <col min="15" max="15" width="14.140625" customWidth="1"/>
    <col min="16" max="16" width="11.42578125" bestFit="1" customWidth="1"/>
    <col min="17" max="17" width="36.85546875" bestFit="1" customWidth="1"/>
    <col min="18" max="18" width="37" bestFit="1" customWidth="1"/>
  </cols>
  <sheetData>
    <row r="1" spans="1:14" x14ac:dyDescent="0.25">
      <c r="A1" t="s">
        <v>1153</v>
      </c>
    </row>
    <row r="2" spans="1:14" x14ac:dyDescent="0.25">
      <c r="C2" t="s">
        <v>101</v>
      </c>
      <c r="E2" t="s">
        <v>101</v>
      </c>
      <c r="N2" s="6"/>
    </row>
    <row r="3" spans="1:14" x14ac:dyDescent="0.25">
      <c r="A3" t="s">
        <v>0</v>
      </c>
      <c r="B3" t="s">
        <v>1154</v>
      </c>
      <c r="C3" t="s">
        <v>1163</v>
      </c>
      <c r="D3" t="s">
        <v>194</v>
      </c>
      <c r="E3" t="s">
        <v>35</v>
      </c>
      <c r="F3" t="s">
        <v>1156</v>
      </c>
    </row>
    <row r="4" spans="1:14" x14ac:dyDescent="0.25">
      <c r="A4" t="s">
        <v>1159</v>
      </c>
      <c r="B4" t="s">
        <v>1647</v>
      </c>
      <c r="C4" s="6" t="s">
        <v>1155</v>
      </c>
      <c r="D4" t="s">
        <v>1657</v>
      </c>
      <c r="E4" t="s">
        <v>36</v>
      </c>
      <c r="F4" t="s">
        <v>1646</v>
      </c>
      <c r="I4" s="12"/>
      <c r="M4" s="6"/>
      <c r="N4" s="6"/>
    </row>
    <row r="5" spans="1:14" x14ac:dyDescent="0.25">
      <c r="A5" t="s">
        <v>1656</v>
      </c>
      <c r="B5" t="s">
        <v>1650</v>
      </c>
      <c r="C5" s="6" t="s">
        <v>1155</v>
      </c>
      <c r="D5" t="s">
        <v>1658</v>
      </c>
      <c r="E5" t="s">
        <v>36</v>
      </c>
      <c r="F5" t="s">
        <v>1659</v>
      </c>
      <c r="I5" s="12"/>
      <c r="M5" s="6"/>
      <c r="N5" s="6"/>
    </row>
    <row r="6" spans="1:14" x14ac:dyDescent="0.25">
      <c r="M6" s="6"/>
      <c r="N6" s="6"/>
    </row>
    <row r="7" spans="1:14" x14ac:dyDescent="0.25">
      <c r="M7" s="6"/>
      <c r="N7" s="6"/>
    </row>
    <row r="8" spans="1:14" x14ac:dyDescent="0.25">
      <c r="M8" s="6"/>
      <c r="N8" s="6"/>
    </row>
    <row r="9" spans="1:14" x14ac:dyDescent="0.25">
      <c r="M9" s="6"/>
    </row>
    <row r="10" spans="1:14" x14ac:dyDescent="0.25">
      <c r="I10" s="12"/>
      <c r="M10" s="6"/>
    </row>
    <row r="11" spans="1:14" x14ac:dyDescent="0.25">
      <c r="I11" s="12"/>
      <c r="M11" s="6"/>
    </row>
    <row r="12" spans="1:14" x14ac:dyDescent="0.25">
      <c r="I12" s="12"/>
      <c r="M12" s="6"/>
      <c r="N12" s="6"/>
    </row>
    <row r="13" spans="1:14" x14ac:dyDescent="0.25">
      <c r="I13" s="12"/>
      <c r="M13" s="6"/>
      <c r="N13" s="6"/>
    </row>
    <row r="14" spans="1:14" x14ac:dyDescent="0.25">
      <c r="I14" s="12"/>
      <c r="M14" s="6"/>
      <c r="N14" s="6"/>
    </row>
    <row r="15" spans="1:14" x14ac:dyDescent="0.25">
      <c r="I15" s="12"/>
      <c r="M15" s="6"/>
      <c r="N15" s="6"/>
    </row>
    <row r="16" spans="1:14" x14ac:dyDescent="0.25">
      <c r="I16" s="12"/>
      <c r="M16" s="6"/>
      <c r="N16" s="6"/>
    </row>
  </sheetData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3"/>
  <sheetViews>
    <sheetView workbookViewId="0">
      <selection activeCell="A4" sqref="A4"/>
    </sheetView>
  </sheetViews>
  <sheetFormatPr defaultColWidth="11.42578125" defaultRowHeight="15" x14ac:dyDescent="0.25"/>
  <cols>
    <col min="1" max="1" width="111.28515625" customWidth="1"/>
  </cols>
  <sheetData>
    <row r="1" spans="1:1" x14ac:dyDescent="0.25">
      <c r="A1" t="s">
        <v>125</v>
      </c>
    </row>
    <row r="2" spans="1:1" ht="30" x14ac:dyDescent="0.25">
      <c r="A2" s="4" t="s">
        <v>1660</v>
      </c>
    </row>
    <row r="3" spans="1:1" x14ac:dyDescent="0.25">
      <c r="A3" s="4" t="s">
        <v>1162</v>
      </c>
    </row>
  </sheetData>
  <pageMargins left="0.7" right="0.7" top="0.78740157499999996" bottom="0.78740157499999996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16"/>
  <sheetViews>
    <sheetView workbookViewId="0">
      <selection activeCell="A14" sqref="A14"/>
    </sheetView>
  </sheetViews>
  <sheetFormatPr defaultRowHeight="15" x14ac:dyDescent="0.25"/>
  <cols>
    <col min="1" max="1" width="40.140625" customWidth="1"/>
    <col min="2" max="2" width="25" customWidth="1"/>
    <col min="3" max="3" width="16.7109375" customWidth="1"/>
    <col min="4" max="4" width="22.140625" bestFit="1" customWidth="1"/>
    <col min="5" max="5" width="39.140625" bestFit="1" customWidth="1"/>
    <col min="6" max="6" width="18.42578125" customWidth="1"/>
    <col min="7" max="7" width="18" bestFit="1" customWidth="1"/>
    <col min="8" max="8" width="13.85546875" customWidth="1"/>
    <col min="9" max="9" width="30.85546875" bestFit="1" customWidth="1"/>
    <col min="10" max="10" width="12" style="13" customWidth="1"/>
    <col min="11" max="11" width="4.5703125" customWidth="1"/>
    <col min="12" max="12" width="5" customWidth="1"/>
    <col min="13" max="13" width="38.85546875" bestFit="1" customWidth="1"/>
    <col min="14" max="14" width="16.85546875" bestFit="1" customWidth="1"/>
    <col min="15" max="15" width="14.140625" customWidth="1"/>
    <col min="16" max="16" width="11.42578125" bestFit="1" customWidth="1"/>
    <col min="17" max="17" width="36.85546875" bestFit="1" customWidth="1"/>
    <col min="18" max="18" width="37" bestFit="1" customWidth="1"/>
  </cols>
  <sheetData>
    <row r="1" spans="1:14" x14ac:dyDescent="0.25">
      <c r="A1" t="s">
        <v>1158</v>
      </c>
    </row>
    <row r="2" spans="1:14" x14ac:dyDescent="0.25">
      <c r="A2" t="s">
        <v>101</v>
      </c>
      <c r="B2" t="s">
        <v>141</v>
      </c>
      <c r="C2" t="s">
        <v>60</v>
      </c>
      <c r="N2" s="6"/>
    </row>
    <row r="3" spans="1:14" x14ac:dyDescent="0.25">
      <c r="A3" t="s">
        <v>1153</v>
      </c>
      <c r="B3" t="s">
        <v>1160</v>
      </c>
      <c r="C3" t="s">
        <v>1161</v>
      </c>
    </row>
    <row r="4" spans="1:14" x14ac:dyDescent="0.25">
      <c r="A4" t="s">
        <v>1159</v>
      </c>
      <c r="B4" s="3">
        <f ca="1">NOW() - 1</f>
        <v>45473.842169791664</v>
      </c>
      <c r="C4">
        <v>220000</v>
      </c>
      <c r="I4" s="12"/>
      <c r="M4" s="6"/>
      <c r="N4" s="6"/>
    </row>
    <row r="5" spans="1:14" x14ac:dyDescent="0.25">
      <c r="A5" t="s">
        <v>1159</v>
      </c>
      <c r="B5" s="3">
        <f ca="1">NOW() - 10</f>
        <v>45464.842169791664</v>
      </c>
      <c r="C5">
        <v>180000</v>
      </c>
      <c r="M5" s="6"/>
      <c r="N5" s="6"/>
    </row>
    <row r="6" spans="1:14" x14ac:dyDescent="0.25">
      <c r="A6" t="s">
        <v>1159</v>
      </c>
      <c r="B6" s="3">
        <f ca="1">NOW() - 20</f>
        <v>45454.842169791664</v>
      </c>
      <c r="C6">
        <v>120000</v>
      </c>
      <c r="M6" s="6"/>
      <c r="N6" s="6"/>
    </row>
    <row r="7" spans="1:14" x14ac:dyDescent="0.25">
      <c r="A7" t="s">
        <v>1159</v>
      </c>
      <c r="B7" s="3">
        <f ca="1">NOW() - 30</f>
        <v>45444.842169791664</v>
      </c>
      <c r="C7">
        <v>100000</v>
      </c>
      <c r="M7" s="6"/>
      <c r="N7" s="6"/>
    </row>
    <row r="8" spans="1:14" x14ac:dyDescent="0.25">
      <c r="A8" t="s">
        <v>1159</v>
      </c>
      <c r="B8" s="3">
        <f ca="1">NOW() - 40</f>
        <v>45434.842169791664</v>
      </c>
      <c r="C8">
        <v>50000</v>
      </c>
      <c r="M8" s="6"/>
      <c r="N8" s="6"/>
    </row>
    <row r="9" spans="1:14" x14ac:dyDescent="0.25">
      <c r="A9" t="s">
        <v>1656</v>
      </c>
      <c r="B9" s="3">
        <f ca="1">NOW() - 0</f>
        <v>45474.842169791664</v>
      </c>
      <c r="C9">
        <v>1000</v>
      </c>
      <c r="M9" s="6"/>
    </row>
    <row r="10" spans="1:14" x14ac:dyDescent="0.25">
      <c r="A10" t="s">
        <v>1656</v>
      </c>
      <c r="B10" s="3">
        <f ca="1">NOW() - 10</f>
        <v>45464.842169791664</v>
      </c>
      <c r="C10">
        <v>1000</v>
      </c>
      <c r="I10" s="12"/>
      <c r="M10" s="6"/>
    </row>
    <row r="11" spans="1:14" x14ac:dyDescent="0.25">
      <c r="A11" t="s">
        <v>1656</v>
      </c>
      <c r="B11" s="3">
        <f ca="1">NOW() - 20</f>
        <v>45454.842169791664</v>
      </c>
      <c r="C11">
        <v>1000</v>
      </c>
      <c r="I11" s="12"/>
      <c r="M11" s="6"/>
    </row>
    <row r="12" spans="1:14" x14ac:dyDescent="0.25">
      <c r="A12" t="s">
        <v>1656</v>
      </c>
      <c r="B12" s="3">
        <f ca="1">NOW() - 30</f>
        <v>45444.842169791664</v>
      </c>
      <c r="C12">
        <v>1000</v>
      </c>
      <c r="I12" s="12"/>
      <c r="M12" s="6"/>
      <c r="N12" s="6"/>
    </row>
    <row r="13" spans="1:14" x14ac:dyDescent="0.25">
      <c r="A13" t="s">
        <v>1656</v>
      </c>
      <c r="B13" s="3">
        <f ca="1">NOW() - 40</f>
        <v>45434.842169791664</v>
      </c>
      <c r="C13">
        <v>1000</v>
      </c>
      <c r="I13" s="12"/>
      <c r="M13" s="6"/>
      <c r="N13" s="6"/>
    </row>
    <row r="14" spans="1:14" x14ac:dyDescent="0.25">
      <c r="I14" s="12"/>
      <c r="M14" s="6"/>
      <c r="N14" s="6"/>
    </row>
    <row r="15" spans="1:14" x14ac:dyDescent="0.25">
      <c r="I15" s="12"/>
      <c r="M15" s="6"/>
      <c r="N15" s="6"/>
    </row>
    <row r="16" spans="1:14" x14ac:dyDescent="0.25">
      <c r="I16" s="12"/>
      <c r="M16" s="6"/>
      <c r="N16" s="6"/>
    </row>
  </sheetData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Q82"/>
  <sheetViews>
    <sheetView workbookViewId="0">
      <selection activeCell="A34" sqref="A34"/>
    </sheetView>
  </sheetViews>
  <sheetFormatPr defaultRowHeight="15" x14ac:dyDescent="0.25"/>
  <cols>
    <col min="1" max="1" width="36.85546875" bestFit="1" customWidth="1"/>
    <col min="2" max="2" width="13.5703125" customWidth="1"/>
    <col min="3" max="3" width="13.28515625" customWidth="1"/>
    <col min="4" max="4" width="36.28515625" bestFit="1" customWidth="1"/>
    <col min="5" max="5" width="12.85546875" customWidth="1"/>
    <col min="6" max="6" width="13.5703125" customWidth="1"/>
    <col min="7" max="7" width="17.28515625" customWidth="1"/>
    <col min="8" max="8" width="37" bestFit="1" customWidth="1"/>
    <col min="9" max="9" width="9.42578125" bestFit="1" customWidth="1"/>
    <col min="10" max="10" width="12.42578125" customWidth="1"/>
    <col min="11" max="11" width="12.5703125" customWidth="1"/>
    <col min="12" max="12" width="11.140625" customWidth="1"/>
    <col min="13" max="13" width="20.140625" customWidth="1"/>
    <col min="14" max="14" width="17.5703125" customWidth="1"/>
    <col min="15" max="15" width="12.85546875" customWidth="1"/>
    <col min="16" max="16" width="36.85546875" bestFit="1" customWidth="1"/>
  </cols>
  <sheetData>
    <row r="1" spans="1:17" x14ac:dyDescent="0.25">
      <c r="A1" t="s">
        <v>786</v>
      </c>
    </row>
    <row r="2" spans="1:17" x14ac:dyDescent="0.25">
      <c r="D2" t="s">
        <v>101</v>
      </c>
      <c r="E2" t="s">
        <v>60</v>
      </c>
      <c r="G2" s="6" t="s">
        <v>141</v>
      </c>
      <c r="H2" t="s">
        <v>101</v>
      </c>
      <c r="M2" s="6" t="s">
        <v>141</v>
      </c>
      <c r="N2" s="6" t="s">
        <v>141</v>
      </c>
      <c r="P2" t="s">
        <v>101</v>
      </c>
    </row>
    <row r="3" spans="1:17" x14ac:dyDescent="0.25">
      <c r="A3" t="s">
        <v>0</v>
      </c>
      <c r="B3" t="s">
        <v>1</v>
      </c>
      <c r="C3" t="s">
        <v>2</v>
      </c>
      <c r="D3" t="s">
        <v>786</v>
      </c>
      <c r="E3" t="s">
        <v>1752</v>
      </c>
      <c r="F3" t="s">
        <v>1753</v>
      </c>
      <c r="G3" t="s">
        <v>1757</v>
      </c>
      <c r="H3" t="s">
        <v>771</v>
      </c>
      <c r="I3" t="s">
        <v>801</v>
      </c>
      <c r="J3" t="s">
        <v>1464</v>
      </c>
      <c r="K3" t="s">
        <v>798</v>
      </c>
      <c r="L3" t="s">
        <v>799</v>
      </c>
      <c r="M3" t="s">
        <v>803</v>
      </c>
      <c r="N3" t="s">
        <v>800</v>
      </c>
      <c r="O3" t="s">
        <v>802</v>
      </c>
      <c r="P3" t="s">
        <v>788</v>
      </c>
    </row>
    <row r="4" spans="1:17" x14ac:dyDescent="0.25">
      <c r="A4" t="s">
        <v>1719</v>
      </c>
      <c r="B4" t="s">
        <v>1749</v>
      </c>
      <c r="C4" t="s">
        <v>1749</v>
      </c>
      <c r="D4" t="s">
        <v>98</v>
      </c>
      <c r="E4" t="s">
        <v>98</v>
      </c>
      <c r="G4" t="s">
        <v>98</v>
      </c>
      <c r="H4" t="s">
        <v>772</v>
      </c>
      <c r="I4">
        <v>1</v>
      </c>
      <c r="J4">
        <v>1</v>
      </c>
      <c r="K4">
        <v>0</v>
      </c>
      <c r="L4">
        <v>24</v>
      </c>
      <c r="M4" s="6">
        <f ca="1">NOW() - 10</f>
        <v>45464.842169791664</v>
      </c>
      <c r="N4" s="6">
        <f ca="1">NOW() - 10</f>
        <v>45464.842169791664</v>
      </c>
      <c r="O4" t="s">
        <v>337</v>
      </c>
      <c r="P4" t="s">
        <v>790</v>
      </c>
      <c r="Q4" t="s">
        <v>1465</v>
      </c>
    </row>
    <row r="5" spans="1:17" x14ac:dyDescent="0.25">
      <c r="A5" t="s">
        <v>1720</v>
      </c>
      <c r="B5" t="s">
        <v>1750</v>
      </c>
      <c r="C5" t="s">
        <v>1750</v>
      </c>
      <c r="D5" t="s">
        <v>98</v>
      </c>
      <c r="E5" t="s">
        <v>98</v>
      </c>
      <c r="G5" t="s">
        <v>98</v>
      </c>
      <c r="H5" t="s">
        <v>772</v>
      </c>
      <c r="I5">
        <v>2</v>
      </c>
      <c r="J5">
        <v>1</v>
      </c>
      <c r="K5">
        <v>0</v>
      </c>
      <c r="L5">
        <v>24</v>
      </c>
      <c r="M5" s="6">
        <f t="shared" ref="M5:N6" ca="1" si="0">NOW()</f>
        <v>45474.842169791664</v>
      </c>
      <c r="N5" s="6">
        <f t="shared" ca="1" si="0"/>
        <v>45474.842169791664</v>
      </c>
      <c r="O5" t="s">
        <v>337</v>
      </c>
      <c r="P5" t="s">
        <v>790</v>
      </c>
    </row>
    <row r="6" spans="1:17" x14ac:dyDescent="0.25">
      <c r="A6" t="s">
        <v>1721</v>
      </c>
      <c r="B6" t="s">
        <v>1751</v>
      </c>
      <c r="C6" t="s">
        <v>1751</v>
      </c>
      <c r="D6" t="s">
        <v>98</v>
      </c>
      <c r="E6" t="s">
        <v>98</v>
      </c>
      <c r="G6" t="s">
        <v>98</v>
      </c>
      <c r="H6" t="s">
        <v>772</v>
      </c>
      <c r="I6">
        <v>3</v>
      </c>
      <c r="J6">
        <v>1</v>
      </c>
      <c r="K6">
        <v>0</v>
      </c>
      <c r="L6">
        <v>24</v>
      </c>
      <c r="M6" s="6">
        <f t="shared" ca="1" si="0"/>
        <v>45474.842169791664</v>
      </c>
      <c r="N6" s="6">
        <f t="shared" ca="1" si="0"/>
        <v>45474.842169791664</v>
      </c>
      <c r="O6" t="s">
        <v>337</v>
      </c>
      <c r="P6" t="s">
        <v>790</v>
      </c>
    </row>
    <row r="7" spans="1:17" x14ac:dyDescent="0.25">
      <c r="A7" t="s">
        <v>1722</v>
      </c>
      <c r="B7" t="s">
        <v>1749</v>
      </c>
      <c r="C7" t="s">
        <v>1749</v>
      </c>
      <c r="D7" t="s">
        <v>1719</v>
      </c>
      <c r="E7">
        <v>1.25</v>
      </c>
      <c r="F7" t="s">
        <v>1755</v>
      </c>
      <c r="G7" s="6">
        <f ca="1">NOW()-5</f>
        <v>45469.842169791664</v>
      </c>
      <c r="H7" t="s">
        <v>772</v>
      </c>
      <c r="I7">
        <v>1</v>
      </c>
      <c r="J7">
        <v>1</v>
      </c>
      <c r="K7">
        <v>0</v>
      </c>
      <c r="L7">
        <v>24</v>
      </c>
      <c r="M7" s="6">
        <f ca="1">NOW()-5</f>
        <v>45469.842169791664</v>
      </c>
      <c r="N7" s="6">
        <f ca="1">NOW()-5</f>
        <v>45469.842169791664</v>
      </c>
      <c r="O7" t="s">
        <v>337</v>
      </c>
      <c r="P7" t="s">
        <v>790</v>
      </c>
    </row>
    <row r="8" spans="1:17" x14ac:dyDescent="0.25">
      <c r="A8" t="s">
        <v>1723</v>
      </c>
      <c r="B8" t="s">
        <v>1749</v>
      </c>
      <c r="C8" t="s">
        <v>1749</v>
      </c>
      <c r="D8" t="s">
        <v>1719</v>
      </c>
      <c r="E8">
        <v>1.5</v>
      </c>
      <c r="F8" t="s">
        <v>1756</v>
      </c>
      <c r="G8" s="6">
        <f ca="1">NOW()-10</f>
        <v>45464.842169791664</v>
      </c>
      <c r="H8" t="s">
        <v>772</v>
      </c>
      <c r="I8">
        <v>1</v>
      </c>
      <c r="J8">
        <v>1</v>
      </c>
      <c r="K8">
        <v>0</v>
      </c>
      <c r="L8">
        <v>24</v>
      </c>
      <c r="M8" s="6">
        <f ca="1">NOW()-10</f>
        <v>45464.842169791664</v>
      </c>
      <c r="N8" s="6">
        <f ca="1">NOW()-10</f>
        <v>45464.842169791664</v>
      </c>
      <c r="O8" t="s">
        <v>337</v>
      </c>
      <c r="P8" t="s">
        <v>790</v>
      </c>
    </row>
    <row r="9" spans="1:17" x14ac:dyDescent="0.25">
      <c r="A9" t="s">
        <v>1724</v>
      </c>
      <c r="B9" t="s">
        <v>1749</v>
      </c>
      <c r="C9" t="s">
        <v>1749</v>
      </c>
      <c r="D9" t="s">
        <v>1719</v>
      </c>
      <c r="E9">
        <v>0.5</v>
      </c>
      <c r="F9" t="s">
        <v>1755</v>
      </c>
      <c r="G9" s="6">
        <f ca="1">NOW()-15</f>
        <v>45459.842169791664</v>
      </c>
      <c r="H9" t="s">
        <v>772</v>
      </c>
      <c r="I9">
        <v>1</v>
      </c>
      <c r="J9">
        <v>1</v>
      </c>
      <c r="K9">
        <v>0</v>
      </c>
      <c r="L9">
        <v>24</v>
      </c>
      <c r="M9" s="6">
        <f ca="1">NOW()-15</f>
        <v>45459.842169791664</v>
      </c>
      <c r="N9" s="6">
        <f ca="1">NOW()-15</f>
        <v>45459.842169791664</v>
      </c>
      <c r="O9" t="s">
        <v>337</v>
      </c>
      <c r="P9" t="s">
        <v>790</v>
      </c>
    </row>
    <row r="10" spans="1:17" x14ac:dyDescent="0.25">
      <c r="A10" t="s">
        <v>1725</v>
      </c>
      <c r="B10" t="s">
        <v>1749</v>
      </c>
      <c r="C10" t="s">
        <v>1749</v>
      </c>
      <c r="D10" t="s">
        <v>1719</v>
      </c>
      <c r="E10">
        <v>1.5</v>
      </c>
      <c r="F10" t="s">
        <v>1755</v>
      </c>
      <c r="G10" s="6">
        <f ca="1">NOW()-20</f>
        <v>45454.842169791664</v>
      </c>
      <c r="H10" t="s">
        <v>772</v>
      </c>
      <c r="I10">
        <v>1</v>
      </c>
      <c r="J10">
        <v>1</v>
      </c>
      <c r="K10">
        <v>0</v>
      </c>
      <c r="L10">
        <v>24</v>
      </c>
      <c r="M10" s="6">
        <f ca="1">NOW()-20</f>
        <v>45454.842169791664</v>
      </c>
      <c r="N10" s="6">
        <f ca="1">NOW()-20</f>
        <v>45454.842169791664</v>
      </c>
      <c r="O10" t="s">
        <v>337</v>
      </c>
      <c r="P10" t="s">
        <v>790</v>
      </c>
    </row>
    <row r="11" spans="1:17" x14ac:dyDescent="0.25">
      <c r="A11" t="s">
        <v>1726</v>
      </c>
      <c r="B11" t="s">
        <v>1749</v>
      </c>
      <c r="C11" t="s">
        <v>1749</v>
      </c>
      <c r="D11" t="s">
        <v>1719</v>
      </c>
      <c r="E11">
        <v>1</v>
      </c>
      <c r="F11" t="s">
        <v>1755</v>
      </c>
      <c r="G11" s="6">
        <f ca="1">NOW()-25</f>
        <v>45449.842169791664</v>
      </c>
      <c r="H11" t="s">
        <v>772</v>
      </c>
      <c r="I11">
        <v>1</v>
      </c>
      <c r="J11">
        <v>1</v>
      </c>
      <c r="K11">
        <v>0</v>
      </c>
      <c r="L11">
        <v>24</v>
      </c>
      <c r="M11" s="6">
        <f ca="1">NOW()-25</f>
        <v>45449.842169791664</v>
      </c>
      <c r="N11" s="6">
        <f ca="1">NOW()-25</f>
        <v>45449.842169791664</v>
      </c>
      <c r="O11" t="s">
        <v>337</v>
      </c>
      <c r="P11" t="s">
        <v>790</v>
      </c>
    </row>
    <row r="12" spans="1:17" x14ac:dyDescent="0.25">
      <c r="A12" t="s">
        <v>1727</v>
      </c>
      <c r="B12" t="s">
        <v>1749</v>
      </c>
      <c r="C12" t="s">
        <v>1749</v>
      </c>
      <c r="D12" t="s">
        <v>1719</v>
      </c>
      <c r="E12">
        <v>2.5</v>
      </c>
      <c r="F12" t="s">
        <v>1754</v>
      </c>
      <c r="G12" s="6">
        <f ca="1">NOW()-30</f>
        <v>45444.842169791664</v>
      </c>
      <c r="H12" t="s">
        <v>772</v>
      </c>
      <c r="I12">
        <v>1</v>
      </c>
      <c r="J12">
        <v>1</v>
      </c>
      <c r="K12">
        <v>0</v>
      </c>
      <c r="L12">
        <v>24</v>
      </c>
      <c r="M12" s="6">
        <f ca="1">NOW()-30</f>
        <v>45444.842169791664</v>
      </c>
      <c r="N12" s="6">
        <f ca="1">NOW()-30</f>
        <v>45444.842169791664</v>
      </c>
      <c r="O12" t="s">
        <v>337</v>
      </c>
      <c r="P12" t="s">
        <v>790</v>
      </c>
    </row>
    <row r="13" spans="1:17" x14ac:dyDescent="0.25">
      <c r="A13" t="s">
        <v>1728</v>
      </c>
      <c r="B13" t="s">
        <v>1749</v>
      </c>
      <c r="C13" t="s">
        <v>1749</v>
      </c>
      <c r="D13" t="s">
        <v>1719</v>
      </c>
      <c r="E13">
        <v>1.5</v>
      </c>
      <c r="F13" t="s">
        <v>1755</v>
      </c>
      <c r="G13" s="6">
        <f ca="1">NOW()-35</f>
        <v>45439.842169791664</v>
      </c>
      <c r="H13" t="s">
        <v>772</v>
      </c>
      <c r="I13">
        <v>1</v>
      </c>
      <c r="J13">
        <v>1</v>
      </c>
      <c r="K13">
        <v>0</v>
      </c>
      <c r="L13">
        <v>24</v>
      </c>
      <c r="M13" s="6">
        <f ca="1">NOW()-35</f>
        <v>45439.842169791664</v>
      </c>
      <c r="N13" s="6">
        <f ca="1">NOW()-35</f>
        <v>45439.842169791664</v>
      </c>
      <c r="O13" t="s">
        <v>337</v>
      </c>
      <c r="P13" t="s">
        <v>790</v>
      </c>
    </row>
    <row r="14" spans="1:17" x14ac:dyDescent="0.25">
      <c r="A14" t="s">
        <v>1729</v>
      </c>
      <c r="B14" t="s">
        <v>1749</v>
      </c>
      <c r="C14" t="s">
        <v>1749</v>
      </c>
      <c r="D14" t="s">
        <v>1719</v>
      </c>
      <c r="E14">
        <v>2</v>
      </c>
      <c r="F14" t="s">
        <v>1756</v>
      </c>
      <c r="G14" s="6">
        <f ca="1">NOW()-40</f>
        <v>45434.842169791664</v>
      </c>
      <c r="H14" t="s">
        <v>772</v>
      </c>
      <c r="I14">
        <v>1</v>
      </c>
      <c r="J14">
        <v>1</v>
      </c>
      <c r="K14">
        <v>0</v>
      </c>
      <c r="L14">
        <v>24</v>
      </c>
      <c r="M14" s="6">
        <f ca="1">NOW()-40</f>
        <v>45434.842169791664</v>
      </c>
      <c r="N14" s="6">
        <f ca="1">NOW()-40</f>
        <v>45434.842169791664</v>
      </c>
      <c r="O14" t="s">
        <v>337</v>
      </c>
      <c r="P14" t="s">
        <v>790</v>
      </c>
    </row>
    <row r="15" spans="1:17" x14ac:dyDescent="0.25">
      <c r="A15" t="s">
        <v>1730</v>
      </c>
      <c r="B15" t="s">
        <v>1749</v>
      </c>
      <c r="C15" t="s">
        <v>1749</v>
      </c>
      <c r="D15" t="s">
        <v>1719</v>
      </c>
      <c r="E15">
        <v>1.5</v>
      </c>
      <c r="F15" t="s">
        <v>1755</v>
      </c>
      <c r="G15" s="6">
        <f ca="1">NOW()-45</f>
        <v>45429.842169791664</v>
      </c>
      <c r="H15" t="s">
        <v>772</v>
      </c>
      <c r="I15">
        <v>1</v>
      </c>
      <c r="J15">
        <v>1</v>
      </c>
      <c r="K15">
        <v>0</v>
      </c>
      <c r="L15">
        <v>24</v>
      </c>
      <c r="M15" s="6">
        <f ca="1">NOW()-45</f>
        <v>45429.842169791664</v>
      </c>
      <c r="N15" s="6">
        <f ca="1">NOW()-45</f>
        <v>45429.842169791664</v>
      </c>
      <c r="O15" t="s">
        <v>337</v>
      </c>
      <c r="P15" t="s">
        <v>790</v>
      </c>
    </row>
    <row r="16" spans="1:17" x14ac:dyDescent="0.25">
      <c r="A16" t="s">
        <v>1731</v>
      </c>
      <c r="B16" t="s">
        <v>1750</v>
      </c>
      <c r="C16" t="s">
        <v>1750</v>
      </c>
      <c r="D16" t="s">
        <v>1720</v>
      </c>
      <c r="E16">
        <v>2</v>
      </c>
      <c r="F16" t="s">
        <v>1756</v>
      </c>
      <c r="G16" s="6">
        <f ca="1">NOW()-5</f>
        <v>45469.842169791664</v>
      </c>
      <c r="H16" t="s">
        <v>772</v>
      </c>
      <c r="I16">
        <v>2</v>
      </c>
      <c r="J16">
        <v>1</v>
      </c>
      <c r="K16">
        <v>0</v>
      </c>
      <c r="L16">
        <v>24</v>
      </c>
      <c r="M16" s="6">
        <f ca="1">NOW()-5</f>
        <v>45469.842169791664</v>
      </c>
      <c r="N16" s="6">
        <f ca="1">NOW()-5</f>
        <v>45469.842169791664</v>
      </c>
      <c r="O16" t="s">
        <v>337</v>
      </c>
      <c r="P16" t="s">
        <v>790</v>
      </c>
    </row>
    <row r="17" spans="1:16" x14ac:dyDescent="0.25">
      <c r="A17" t="s">
        <v>1732</v>
      </c>
      <c r="B17" t="s">
        <v>1750</v>
      </c>
      <c r="C17" t="s">
        <v>1750</v>
      </c>
      <c r="D17" t="s">
        <v>1720</v>
      </c>
      <c r="E17">
        <v>2.5</v>
      </c>
      <c r="F17" t="s">
        <v>1754</v>
      </c>
      <c r="G17" s="6">
        <f ca="1">NOW()-10</f>
        <v>45464.842169791664</v>
      </c>
      <c r="H17" t="s">
        <v>772</v>
      </c>
      <c r="I17">
        <v>2</v>
      </c>
      <c r="J17">
        <v>1</v>
      </c>
      <c r="K17">
        <v>0</v>
      </c>
      <c r="L17">
        <v>24</v>
      </c>
      <c r="M17" s="6">
        <f ca="1">NOW()-10</f>
        <v>45464.842169791664</v>
      </c>
      <c r="N17" s="6">
        <f ca="1">NOW()-10</f>
        <v>45464.842169791664</v>
      </c>
      <c r="O17" t="s">
        <v>337</v>
      </c>
      <c r="P17" t="s">
        <v>790</v>
      </c>
    </row>
    <row r="18" spans="1:16" x14ac:dyDescent="0.25">
      <c r="A18" t="s">
        <v>1733</v>
      </c>
      <c r="B18" t="s">
        <v>1750</v>
      </c>
      <c r="C18" t="s">
        <v>1750</v>
      </c>
      <c r="D18" t="s">
        <v>1720</v>
      </c>
      <c r="E18">
        <v>3</v>
      </c>
      <c r="F18" t="s">
        <v>1755</v>
      </c>
      <c r="G18" s="6">
        <f ca="1">NOW()-15</f>
        <v>45459.842169791664</v>
      </c>
      <c r="H18" t="s">
        <v>772</v>
      </c>
      <c r="I18">
        <v>2</v>
      </c>
      <c r="J18">
        <v>1</v>
      </c>
      <c r="K18">
        <v>0</v>
      </c>
      <c r="L18">
        <v>24</v>
      </c>
      <c r="M18" s="6">
        <f ca="1">NOW()-15</f>
        <v>45459.842169791664</v>
      </c>
      <c r="N18" s="6">
        <f ca="1">NOW()-15</f>
        <v>45459.842169791664</v>
      </c>
      <c r="O18" t="s">
        <v>337</v>
      </c>
      <c r="P18" t="s">
        <v>790</v>
      </c>
    </row>
    <row r="19" spans="1:16" x14ac:dyDescent="0.25">
      <c r="A19" t="s">
        <v>1734</v>
      </c>
      <c r="B19" t="s">
        <v>1750</v>
      </c>
      <c r="C19" t="s">
        <v>1750</v>
      </c>
      <c r="D19" t="s">
        <v>1720</v>
      </c>
      <c r="E19">
        <v>2</v>
      </c>
      <c r="F19" t="s">
        <v>1756</v>
      </c>
      <c r="G19" s="6">
        <f ca="1">NOW()-20</f>
        <v>45454.842169791664</v>
      </c>
      <c r="H19" t="s">
        <v>772</v>
      </c>
      <c r="I19">
        <v>2</v>
      </c>
      <c r="J19">
        <v>1</v>
      </c>
      <c r="K19">
        <v>0</v>
      </c>
      <c r="L19">
        <v>24</v>
      </c>
      <c r="M19" s="6">
        <f ca="1">NOW()-20</f>
        <v>45454.842169791664</v>
      </c>
      <c r="N19" s="6">
        <f ca="1">NOW()-20</f>
        <v>45454.842169791664</v>
      </c>
      <c r="O19" t="s">
        <v>337</v>
      </c>
      <c r="P19" t="s">
        <v>790</v>
      </c>
    </row>
    <row r="20" spans="1:16" x14ac:dyDescent="0.25">
      <c r="A20" t="s">
        <v>1735</v>
      </c>
      <c r="B20" t="s">
        <v>1750</v>
      </c>
      <c r="C20" t="s">
        <v>1750</v>
      </c>
      <c r="D20" t="s">
        <v>1720</v>
      </c>
      <c r="E20">
        <v>1.5</v>
      </c>
      <c r="F20" t="s">
        <v>1755</v>
      </c>
      <c r="G20" s="6">
        <f ca="1">NOW()-25</f>
        <v>45449.842169791664</v>
      </c>
      <c r="H20" t="s">
        <v>772</v>
      </c>
      <c r="I20">
        <v>2</v>
      </c>
      <c r="J20">
        <v>1</v>
      </c>
      <c r="K20">
        <v>0</v>
      </c>
      <c r="L20">
        <v>24</v>
      </c>
      <c r="M20" s="6">
        <f ca="1">NOW()-25</f>
        <v>45449.842169791664</v>
      </c>
      <c r="N20" s="6">
        <f ca="1">NOW()-25</f>
        <v>45449.842169791664</v>
      </c>
      <c r="O20" t="s">
        <v>337</v>
      </c>
      <c r="P20" t="s">
        <v>790</v>
      </c>
    </row>
    <row r="21" spans="1:16" x14ac:dyDescent="0.25">
      <c r="A21" t="s">
        <v>1736</v>
      </c>
      <c r="B21" t="s">
        <v>1750</v>
      </c>
      <c r="C21" t="s">
        <v>1750</v>
      </c>
      <c r="D21" t="s">
        <v>1720</v>
      </c>
      <c r="E21">
        <v>3.5</v>
      </c>
      <c r="F21" t="s">
        <v>1754</v>
      </c>
      <c r="G21" s="6">
        <f ca="1">NOW()-30</f>
        <v>45444.842169791664</v>
      </c>
      <c r="H21" t="s">
        <v>772</v>
      </c>
      <c r="I21">
        <v>2</v>
      </c>
      <c r="J21">
        <v>1</v>
      </c>
      <c r="K21">
        <v>0</v>
      </c>
      <c r="L21">
        <v>24</v>
      </c>
      <c r="M21" s="6">
        <f ca="1">NOW()-30</f>
        <v>45444.842169791664</v>
      </c>
      <c r="N21" s="6">
        <f ca="1">NOW()-30</f>
        <v>45444.842169791664</v>
      </c>
      <c r="O21" t="s">
        <v>337</v>
      </c>
      <c r="P21" t="s">
        <v>790</v>
      </c>
    </row>
    <row r="22" spans="1:16" x14ac:dyDescent="0.25">
      <c r="A22" t="s">
        <v>1737</v>
      </c>
      <c r="B22" t="s">
        <v>1750</v>
      </c>
      <c r="C22" t="s">
        <v>1750</v>
      </c>
      <c r="D22" t="s">
        <v>1720</v>
      </c>
      <c r="E22">
        <v>0.5</v>
      </c>
      <c r="F22" t="s">
        <v>1755</v>
      </c>
      <c r="G22" s="6">
        <f ca="1">NOW()-35</f>
        <v>45439.842169791664</v>
      </c>
      <c r="H22" t="s">
        <v>772</v>
      </c>
      <c r="I22">
        <v>2</v>
      </c>
      <c r="J22">
        <v>1</v>
      </c>
      <c r="K22">
        <v>0</v>
      </c>
      <c r="L22">
        <v>24</v>
      </c>
      <c r="M22" s="6">
        <f ca="1">NOW()-35</f>
        <v>45439.842169791664</v>
      </c>
      <c r="N22" s="6">
        <f ca="1">NOW()-35</f>
        <v>45439.842169791664</v>
      </c>
      <c r="O22" t="s">
        <v>337</v>
      </c>
      <c r="P22" t="s">
        <v>790</v>
      </c>
    </row>
    <row r="23" spans="1:16" x14ac:dyDescent="0.25">
      <c r="A23" t="s">
        <v>1738</v>
      </c>
      <c r="B23" t="s">
        <v>1750</v>
      </c>
      <c r="C23" t="s">
        <v>1750</v>
      </c>
      <c r="D23" t="s">
        <v>1720</v>
      </c>
      <c r="E23">
        <v>1.75</v>
      </c>
      <c r="F23" t="s">
        <v>1754</v>
      </c>
      <c r="G23" s="6">
        <f ca="1">NOW()-40</f>
        <v>45434.842169791664</v>
      </c>
      <c r="H23" t="s">
        <v>772</v>
      </c>
      <c r="I23">
        <v>2</v>
      </c>
      <c r="J23">
        <v>1</v>
      </c>
      <c r="K23">
        <v>0</v>
      </c>
      <c r="L23">
        <v>24</v>
      </c>
      <c r="M23" s="6">
        <f ca="1">NOW()-40</f>
        <v>45434.842169791664</v>
      </c>
      <c r="N23" s="6">
        <f ca="1">NOW()-40</f>
        <v>45434.842169791664</v>
      </c>
      <c r="O23" t="s">
        <v>337</v>
      </c>
      <c r="P23" t="s">
        <v>790</v>
      </c>
    </row>
    <row r="24" spans="1:16" x14ac:dyDescent="0.25">
      <c r="A24" t="s">
        <v>1739</v>
      </c>
      <c r="B24" t="s">
        <v>1750</v>
      </c>
      <c r="C24" t="s">
        <v>1750</v>
      </c>
      <c r="D24" t="s">
        <v>1720</v>
      </c>
      <c r="E24">
        <v>2</v>
      </c>
      <c r="F24" t="s">
        <v>1756</v>
      </c>
      <c r="G24" s="6">
        <f ca="1">NOW()-45</f>
        <v>45429.842169791664</v>
      </c>
      <c r="H24" t="s">
        <v>772</v>
      </c>
      <c r="I24">
        <v>2</v>
      </c>
      <c r="J24">
        <v>1</v>
      </c>
      <c r="K24">
        <v>0</v>
      </c>
      <c r="L24">
        <v>24</v>
      </c>
      <c r="M24" s="6">
        <f ca="1">NOW()-45</f>
        <v>45429.842169791664</v>
      </c>
      <c r="N24" s="6">
        <f ca="1">NOW()-45</f>
        <v>45429.842169791664</v>
      </c>
      <c r="O24" t="s">
        <v>337</v>
      </c>
      <c r="P24" t="s">
        <v>790</v>
      </c>
    </row>
    <row r="25" spans="1:16" x14ac:dyDescent="0.25">
      <c r="A25" t="s">
        <v>1740</v>
      </c>
      <c r="B25" t="s">
        <v>1751</v>
      </c>
      <c r="C25" t="s">
        <v>1751</v>
      </c>
      <c r="D25" t="s">
        <v>1721</v>
      </c>
      <c r="E25">
        <v>4.5</v>
      </c>
      <c r="F25" t="s">
        <v>1754</v>
      </c>
      <c r="G25" s="6">
        <f ca="1">NOW()-5</f>
        <v>45469.842169791664</v>
      </c>
      <c r="H25" t="s">
        <v>772</v>
      </c>
      <c r="I25">
        <v>3</v>
      </c>
      <c r="J25">
        <v>1</v>
      </c>
      <c r="K25">
        <v>0</v>
      </c>
      <c r="L25">
        <v>24</v>
      </c>
      <c r="M25" s="6">
        <f ca="1">NOW()-5</f>
        <v>45469.842169791664</v>
      </c>
      <c r="N25" s="6">
        <f ca="1">NOW()-5</f>
        <v>45469.842169791664</v>
      </c>
      <c r="O25" t="s">
        <v>337</v>
      </c>
      <c r="P25" t="s">
        <v>790</v>
      </c>
    </row>
    <row r="26" spans="1:16" x14ac:dyDescent="0.25">
      <c r="A26" t="s">
        <v>1741</v>
      </c>
      <c r="B26" t="s">
        <v>1751</v>
      </c>
      <c r="C26" t="s">
        <v>1751</v>
      </c>
      <c r="D26" t="s">
        <v>1721</v>
      </c>
      <c r="E26">
        <v>3.75</v>
      </c>
      <c r="F26" t="s">
        <v>1754</v>
      </c>
      <c r="G26" s="6">
        <f ca="1">NOW()-10</f>
        <v>45464.842169791664</v>
      </c>
      <c r="H26" t="s">
        <v>772</v>
      </c>
      <c r="I26">
        <v>3</v>
      </c>
      <c r="J26">
        <v>1</v>
      </c>
      <c r="K26">
        <v>0</v>
      </c>
      <c r="L26">
        <v>24</v>
      </c>
      <c r="M26" s="6">
        <f ca="1">NOW()-10</f>
        <v>45464.842169791664</v>
      </c>
      <c r="N26" s="6">
        <f ca="1">NOW()-10</f>
        <v>45464.842169791664</v>
      </c>
      <c r="O26" t="s">
        <v>337</v>
      </c>
      <c r="P26" t="s">
        <v>790</v>
      </c>
    </row>
    <row r="27" spans="1:16" x14ac:dyDescent="0.25">
      <c r="A27" t="s">
        <v>1742</v>
      </c>
      <c r="B27" t="s">
        <v>1751</v>
      </c>
      <c r="C27" t="s">
        <v>1751</v>
      </c>
      <c r="D27" t="s">
        <v>1721</v>
      </c>
      <c r="E27">
        <v>2</v>
      </c>
      <c r="F27" t="s">
        <v>1756</v>
      </c>
      <c r="G27" s="6">
        <f ca="1">NOW()-15</f>
        <v>45459.842169791664</v>
      </c>
      <c r="H27" t="s">
        <v>772</v>
      </c>
      <c r="I27">
        <v>3</v>
      </c>
      <c r="J27">
        <v>1</v>
      </c>
      <c r="K27">
        <v>0</v>
      </c>
      <c r="L27">
        <v>24</v>
      </c>
      <c r="M27" s="6">
        <f ca="1">NOW()-15</f>
        <v>45459.842169791664</v>
      </c>
      <c r="N27" s="6">
        <f ca="1">NOW()-15</f>
        <v>45459.842169791664</v>
      </c>
      <c r="O27" t="s">
        <v>337</v>
      </c>
      <c r="P27" t="s">
        <v>790</v>
      </c>
    </row>
    <row r="28" spans="1:16" x14ac:dyDescent="0.25">
      <c r="A28" t="s">
        <v>1743</v>
      </c>
      <c r="B28" t="s">
        <v>1751</v>
      </c>
      <c r="C28" t="s">
        <v>1751</v>
      </c>
      <c r="D28" t="s">
        <v>1721</v>
      </c>
      <c r="E28">
        <v>3</v>
      </c>
      <c r="F28" t="s">
        <v>1756</v>
      </c>
      <c r="G28" s="6">
        <f ca="1">NOW()-20</f>
        <v>45454.842169791664</v>
      </c>
      <c r="H28" t="s">
        <v>772</v>
      </c>
      <c r="I28">
        <v>3</v>
      </c>
      <c r="J28">
        <v>1</v>
      </c>
      <c r="K28">
        <v>0</v>
      </c>
      <c r="L28">
        <v>24</v>
      </c>
      <c r="M28" s="6">
        <f ca="1">NOW()-20</f>
        <v>45454.842169791664</v>
      </c>
      <c r="N28" s="6">
        <f ca="1">NOW()-20</f>
        <v>45454.842169791664</v>
      </c>
      <c r="O28" t="s">
        <v>337</v>
      </c>
      <c r="P28" t="s">
        <v>790</v>
      </c>
    </row>
    <row r="29" spans="1:16" x14ac:dyDescent="0.25">
      <c r="A29" t="s">
        <v>1744</v>
      </c>
      <c r="B29" t="s">
        <v>1751</v>
      </c>
      <c r="C29" t="s">
        <v>1751</v>
      </c>
      <c r="D29" t="s">
        <v>1721</v>
      </c>
      <c r="E29">
        <v>4</v>
      </c>
      <c r="F29" t="s">
        <v>1756</v>
      </c>
      <c r="G29" s="6">
        <f ca="1">NOW()-25</f>
        <v>45449.842169791664</v>
      </c>
      <c r="H29" t="s">
        <v>772</v>
      </c>
      <c r="I29">
        <v>3</v>
      </c>
      <c r="J29">
        <v>1</v>
      </c>
      <c r="K29">
        <v>0</v>
      </c>
      <c r="L29">
        <v>24</v>
      </c>
      <c r="M29" s="6">
        <f ca="1">NOW()-25</f>
        <v>45449.842169791664</v>
      </c>
      <c r="N29" s="6">
        <f ca="1">NOW()-25</f>
        <v>45449.842169791664</v>
      </c>
      <c r="O29" t="s">
        <v>337</v>
      </c>
      <c r="P29" t="s">
        <v>790</v>
      </c>
    </row>
    <row r="30" spans="1:16" x14ac:dyDescent="0.25">
      <c r="A30" t="s">
        <v>1745</v>
      </c>
      <c r="B30" t="s">
        <v>1751</v>
      </c>
      <c r="C30" t="s">
        <v>1751</v>
      </c>
      <c r="D30" t="s">
        <v>1721</v>
      </c>
      <c r="E30">
        <v>2</v>
      </c>
      <c r="F30" t="s">
        <v>1755</v>
      </c>
      <c r="G30" s="6">
        <f ca="1">NOW()-30</f>
        <v>45444.842169791664</v>
      </c>
      <c r="H30" t="s">
        <v>772</v>
      </c>
      <c r="I30">
        <v>3</v>
      </c>
      <c r="J30">
        <v>1</v>
      </c>
      <c r="K30">
        <v>0</v>
      </c>
      <c r="L30">
        <v>24</v>
      </c>
      <c r="M30" s="6">
        <f ca="1">NOW()-30</f>
        <v>45444.842169791664</v>
      </c>
      <c r="N30" s="6">
        <f ca="1">NOW()-30</f>
        <v>45444.842169791664</v>
      </c>
      <c r="O30" t="s">
        <v>337</v>
      </c>
      <c r="P30" t="s">
        <v>790</v>
      </c>
    </row>
    <row r="31" spans="1:16" x14ac:dyDescent="0.25">
      <c r="A31" t="s">
        <v>1746</v>
      </c>
      <c r="B31" t="s">
        <v>1751</v>
      </c>
      <c r="C31" t="s">
        <v>1751</v>
      </c>
      <c r="D31" t="s">
        <v>1721</v>
      </c>
      <c r="E31">
        <v>3.5</v>
      </c>
      <c r="F31" t="s">
        <v>1755</v>
      </c>
      <c r="G31" s="6">
        <f ca="1">NOW()-35</f>
        <v>45439.842169791664</v>
      </c>
      <c r="H31" t="s">
        <v>772</v>
      </c>
      <c r="I31">
        <v>3</v>
      </c>
      <c r="J31">
        <v>1</v>
      </c>
      <c r="K31">
        <v>0</v>
      </c>
      <c r="L31">
        <v>24</v>
      </c>
      <c r="M31" s="6">
        <f ca="1">NOW()-35</f>
        <v>45439.842169791664</v>
      </c>
      <c r="N31" s="6">
        <f ca="1">NOW()-35</f>
        <v>45439.842169791664</v>
      </c>
      <c r="O31" t="s">
        <v>337</v>
      </c>
      <c r="P31" t="s">
        <v>790</v>
      </c>
    </row>
    <row r="32" spans="1:16" x14ac:dyDescent="0.25">
      <c r="A32" t="s">
        <v>1747</v>
      </c>
      <c r="B32" t="s">
        <v>1751</v>
      </c>
      <c r="C32" t="s">
        <v>1751</v>
      </c>
      <c r="D32" t="s">
        <v>1721</v>
      </c>
      <c r="E32">
        <v>4</v>
      </c>
      <c r="F32" t="s">
        <v>1755</v>
      </c>
      <c r="G32" s="6">
        <f ca="1">NOW()-40</f>
        <v>45434.842169791664</v>
      </c>
      <c r="H32" t="s">
        <v>772</v>
      </c>
      <c r="I32">
        <v>3</v>
      </c>
      <c r="J32">
        <v>1</v>
      </c>
      <c r="K32">
        <v>0</v>
      </c>
      <c r="L32">
        <v>24</v>
      </c>
      <c r="M32" s="6">
        <f ca="1">NOW()-40</f>
        <v>45434.842169791664</v>
      </c>
      <c r="N32" s="6">
        <f ca="1">NOW()-40</f>
        <v>45434.842169791664</v>
      </c>
      <c r="O32" t="s">
        <v>337</v>
      </c>
      <c r="P32" t="s">
        <v>790</v>
      </c>
    </row>
    <row r="33" spans="1:16" x14ac:dyDescent="0.25">
      <c r="A33" t="s">
        <v>1748</v>
      </c>
      <c r="B33" t="s">
        <v>1751</v>
      </c>
      <c r="C33" t="s">
        <v>1751</v>
      </c>
      <c r="D33" t="s">
        <v>1721</v>
      </c>
      <c r="E33">
        <v>4.5</v>
      </c>
      <c r="F33" t="s">
        <v>1755</v>
      </c>
      <c r="G33" s="6">
        <f ca="1">NOW()-45</f>
        <v>45429.842169791664</v>
      </c>
      <c r="H33" t="s">
        <v>772</v>
      </c>
      <c r="I33">
        <v>3</v>
      </c>
      <c r="J33">
        <v>1</v>
      </c>
      <c r="K33">
        <v>0</v>
      </c>
      <c r="L33">
        <v>24</v>
      </c>
      <c r="M33" s="6">
        <f ca="1">NOW()-45</f>
        <v>45429.842169791664</v>
      </c>
      <c r="N33" s="6">
        <f ca="1">NOW()-45</f>
        <v>45429.842169791664</v>
      </c>
      <c r="O33" t="s">
        <v>337</v>
      </c>
      <c r="P33" t="s">
        <v>790</v>
      </c>
    </row>
    <row r="34" spans="1:16" x14ac:dyDescent="0.25">
      <c r="I34" s="11"/>
      <c r="J34" s="11"/>
      <c r="M34" s="6"/>
      <c r="N34" s="6"/>
    </row>
    <row r="35" spans="1:16" x14ac:dyDescent="0.25">
      <c r="I35" s="11"/>
      <c r="J35" s="11"/>
      <c r="M35" s="6"/>
      <c r="N35" s="6"/>
    </row>
    <row r="36" spans="1:16" x14ac:dyDescent="0.25">
      <c r="I36" s="11"/>
      <c r="J36" s="11"/>
      <c r="M36" s="6"/>
      <c r="N36" s="6"/>
    </row>
    <row r="37" spans="1:16" x14ac:dyDescent="0.25">
      <c r="I37" s="11"/>
      <c r="J37" s="11"/>
      <c r="M37" s="6"/>
      <c r="N37" s="6"/>
    </row>
    <row r="38" spans="1:16" x14ac:dyDescent="0.25">
      <c r="I38" s="11"/>
      <c r="J38" s="11"/>
      <c r="M38" s="6"/>
      <c r="N38" s="6"/>
    </row>
    <row r="39" spans="1:16" x14ac:dyDescent="0.25">
      <c r="I39" s="11"/>
      <c r="J39" s="11"/>
      <c r="M39" s="6"/>
      <c r="N39" s="6"/>
    </row>
    <row r="40" spans="1:16" x14ac:dyDescent="0.25">
      <c r="I40" s="11"/>
      <c r="J40" s="11"/>
      <c r="M40" s="6"/>
      <c r="N40" s="6"/>
    </row>
    <row r="41" spans="1:16" x14ac:dyDescent="0.25">
      <c r="I41" s="11"/>
      <c r="J41" s="11"/>
      <c r="M41" s="6"/>
      <c r="N41" s="6"/>
    </row>
    <row r="42" spans="1:16" x14ac:dyDescent="0.25">
      <c r="I42" s="11"/>
      <c r="J42" s="11"/>
      <c r="M42" s="6"/>
      <c r="N42" s="6"/>
    </row>
    <row r="43" spans="1:16" x14ac:dyDescent="0.25">
      <c r="I43" s="11"/>
      <c r="J43" s="11"/>
      <c r="M43" s="6"/>
      <c r="N43" s="6"/>
    </row>
    <row r="44" spans="1:16" x14ac:dyDescent="0.25">
      <c r="I44" s="11"/>
      <c r="J44" s="11"/>
      <c r="M44" s="6"/>
      <c r="N44" s="6"/>
    </row>
    <row r="45" spans="1:16" x14ac:dyDescent="0.25">
      <c r="I45" s="11"/>
      <c r="J45" s="11"/>
      <c r="M45" s="6"/>
      <c r="N45" s="6"/>
    </row>
    <row r="46" spans="1:16" x14ac:dyDescent="0.25">
      <c r="M46" s="6"/>
      <c r="N46" s="6"/>
    </row>
    <row r="47" spans="1:16" x14ac:dyDescent="0.25">
      <c r="M47" s="6"/>
      <c r="N47" s="6"/>
    </row>
    <row r="48" spans="1:16" x14ac:dyDescent="0.25">
      <c r="M48" s="6"/>
      <c r="N48" s="6"/>
    </row>
    <row r="49" spans="9:14" x14ac:dyDescent="0.25">
      <c r="M49" s="6"/>
      <c r="N49" s="6"/>
    </row>
    <row r="50" spans="9:14" x14ac:dyDescent="0.25">
      <c r="M50" s="6"/>
      <c r="N50" s="6"/>
    </row>
    <row r="51" spans="9:14" x14ac:dyDescent="0.25">
      <c r="I51" s="11"/>
      <c r="J51" s="11"/>
      <c r="M51" s="6"/>
      <c r="N51" s="6"/>
    </row>
    <row r="52" spans="9:14" x14ac:dyDescent="0.25">
      <c r="I52" s="11"/>
      <c r="J52" s="11"/>
      <c r="M52" s="6"/>
      <c r="N52" s="6"/>
    </row>
    <row r="53" spans="9:14" x14ac:dyDescent="0.25">
      <c r="J53" s="11"/>
      <c r="M53" s="6"/>
      <c r="N53" s="6"/>
    </row>
    <row r="54" spans="9:14" x14ac:dyDescent="0.25">
      <c r="J54" s="11"/>
      <c r="M54" s="6"/>
      <c r="N54" s="6"/>
    </row>
    <row r="55" spans="9:14" x14ac:dyDescent="0.25">
      <c r="M55" s="6"/>
      <c r="N55" s="6"/>
    </row>
    <row r="56" spans="9:14" x14ac:dyDescent="0.25">
      <c r="J56" s="11"/>
      <c r="M56" s="6"/>
      <c r="N56" s="6"/>
    </row>
    <row r="57" spans="9:14" x14ac:dyDescent="0.25">
      <c r="M57" s="6"/>
      <c r="N57" s="6"/>
    </row>
    <row r="58" spans="9:14" x14ac:dyDescent="0.25">
      <c r="M58" s="6"/>
      <c r="N58" s="6"/>
    </row>
    <row r="59" spans="9:14" x14ac:dyDescent="0.25">
      <c r="M59" s="6"/>
      <c r="N59" s="6"/>
    </row>
    <row r="60" spans="9:14" x14ac:dyDescent="0.25">
      <c r="M60" s="6"/>
      <c r="N60" s="6"/>
    </row>
    <row r="61" spans="9:14" x14ac:dyDescent="0.25">
      <c r="M61" s="6"/>
      <c r="N61" s="6"/>
    </row>
    <row r="62" spans="9:14" x14ac:dyDescent="0.25">
      <c r="M62" s="6"/>
      <c r="N62" s="6"/>
    </row>
    <row r="63" spans="9:14" x14ac:dyDescent="0.25">
      <c r="M63" s="6"/>
      <c r="N63" s="6"/>
    </row>
    <row r="64" spans="9:14" x14ac:dyDescent="0.25">
      <c r="M64" s="6"/>
      <c r="N64" s="6"/>
    </row>
    <row r="65" spans="10:14" x14ac:dyDescent="0.25">
      <c r="J65" s="11"/>
      <c r="M65" s="6"/>
      <c r="N65" s="6"/>
    </row>
    <row r="66" spans="10:14" x14ac:dyDescent="0.25">
      <c r="M66" s="6"/>
      <c r="N66" s="6"/>
    </row>
    <row r="67" spans="10:14" x14ac:dyDescent="0.25">
      <c r="J67" s="11"/>
      <c r="M67" s="6"/>
      <c r="N67" s="6"/>
    </row>
    <row r="68" spans="10:14" x14ac:dyDescent="0.25">
      <c r="M68" s="6"/>
      <c r="N68" s="6"/>
    </row>
    <row r="69" spans="10:14" x14ac:dyDescent="0.25">
      <c r="M69" s="6"/>
      <c r="N69" s="6"/>
    </row>
    <row r="70" spans="10:14" x14ac:dyDescent="0.25">
      <c r="M70" s="6"/>
      <c r="N70" s="6"/>
    </row>
    <row r="71" spans="10:14" x14ac:dyDescent="0.25">
      <c r="M71" s="6"/>
      <c r="N71" s="6"/>
    </row>
    <row r="72" spans="10:14" x14ac:dyDescent="0.25">
      <c r="M72" s="6"/>
      <c r="N72" s="6"/>
    </row>
    <row r="73" spans="10:14" x14ac:dyDescent="0.25">
      <c r="M73" s="6"/>
      <c r="N73" s="6"/>
    </row>
    <row r="74" spans="10:14" x14ac:dyDescent="0.25">
      <c r="M74" s="6"/>
      <c r="N74" s="6"/>
    </row>
    <row r="75" spans="10:14" x14ac:dyDescent="0.25">
      <c r="M75" s="6"/>
      <c r="N75" s="6"/>
    </row>
    <row r="76" spans="10:14" x14ac:dyDescent="0.25">
      <c r="J76" s="11"/>
      <c r="M76" s="6"/>
      <c r="N76" s="6"/>
    </row>
    <row r="77" spans="10:14" x14ac:dyDescent="0.25">
      <c r="J77" s="11"/>
      <c r="M77" s="6"/>
      <c r="N77" s="6"/>
    </row>
    <row r="78" spans="10:14" x14ac:dyDescent="0.25">
      <c r="M78" s="6"/>
      <c r="N78" s="6"/>
    </row>
    <row r="79" spans="10:14" x14ac:dyDescent="0.25">
      <c r="J79" s="11"/>
      <c r="M79" s="6"/>
      <c r="N79" s="6"/>
    </row>
    <row r="80" spans="10:14" x14ac:dyDescent="0.25">
      <c r="J80" s="11"/>
      <c r="M80" s="6"/>
      <c r="N80" s="6"/>
    </row>
    <row r="81" spans="13:14" x14ac:dyDescent="0.25">
      <c r="M81" s="6"/>
      <c r="N81" s="6"/>
    </row>
    <row r="82" spans="13:14" x14ac:dyDescent="0.25">
      <c r="M82" s="6"/>
      <c r="N82" s="6"/>
    </row>
  </sheetData>
  <pageMargins left="0.7" right="0.7" top="0.75" bottom="0.75" header="0.3" footer="0.3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E64"/>
  <sheetViews>
    <sheetView topLeftCell="A41" workbookViewId="0">
      <selection activeCell="A65" sqref="A65"/>
    </sheetView>
  </sheetViews>
  <sheetFormatPr defaultRowHeight="15" x14ac:dyDescent="0.25"/>
  <cols>
    <col min="1" max="1" width="37.5703125" bestFit="1" customWidth="1"/>
    <col min="2" max="2" width="36.85546875" bestFit="1" customWidth="1"/>
    <col min="3" max="3" width="37.28515625" bestFit="1" customWidth="1"/>
    <col min="4" max="4" width="10.28515625" customWidth="1"/>
    <col min="5" max="5" width="8.7109375" customWidth="1"/>
  </cols>
  <sheetData>
    <row r="1" spans="1:5" x14ac:dyDescent="0.25">
      <c r="A1" t="s">
        <v>999</v>
      </c>
    </row>
    <row r="2" spans="1:5" x14ac:dyDescent="0.25">
      <c r="B2" t="s">
        <v>101</v>
      </c>
      <c r="C2" t="s">
        <v>101</v>
      </c>
      <c r="D2" t="s">
        <v>60</v>
      </c>
      <c r="E2" t="s">
        <v>60</v>
      </c>
    </row>
    <row r="3" spans="1:5" x14ac:dyDescent="0.25">
      <c r="A3" t="s">
        <v>0</v>
      </c>
      <c r="B3" t="s">
        <v>786</v>
      </c>
      <c r="C3" t="s">
        <v>997</v>
      </c>
      <c r="D3" t="s">
        <v>1020</v>
      </c>
      <c r="E3" t="s">
        <v>1002</v>
      </c>
    </row>
    <row r="4" spans="1:5" x14ac:dyDescent="0.25">
      <c r="A4" t="s">
        <v>1758</v>
      </c>
      <c r="B4" t="s">
        <v>1719</v>
      </c>
      <c r="C4" t="s">
        <v>1819</v>
      </c>
      <c r="D4">
        <v>2</v>
      </c>
      <c r="E4">
        <v>10</v>
      </c>
    </row>
    <row r="5" spans="1:5" x14ac:dyDescent="0.25">
      <c r="A5" t="s">
        <v>1759</v>
      </c>
      <c r="B5" t="s">
        <v>1719</v>
      </c>
      <c r="C5" t="s">
        <v>1820</v>
      </c>
      <c r="D5">
        <v>1</v>
      </c>
      <c r="E5">
        <v>30</v>
      </c>
    </row>
    <row r="6" spans="1:5" x14ac:dyDescent="0.25">
      <c r="A6" t="s">
        <v>1760</v>
      </c>
      <c r="B6" t="s">
        <v>1720</v>
      </c>
      <c r="C6" t="s">
        <v>1819</v>
      </c>
      <c r="D6">
        <v>4</v>
      </c>
      <c r="E6">
        <v>10</v>
      </c>
    </row>
    <row r="7" spans="1:5" x14ac:dyDescent="0.25">
      <c r="A7" t="s">
        <v>1761</v>
      </c>
      <c r="B7" t="s">
        <v>1720</v>
      </c>
      <c r="C7" t="s">
        <v>1821</v>
      </c>
      <c r="D7">
        <v>1</v>
      </c>
      <c r="E7">
        <v>50</v>
      </c>
    </row>
    <row r="8" spans="1:5" x14ac:dyDescent="0.25">
      <c r="A8" t="s">
        <v>1762</v>
      </c>
      <c r="B8" t="s">
        <v>1721</v>
      </c>
      <c r="C8" t="s">
        <v>1820</v>
      </c>
      <c r="D8">
        <v>2</v>
      </c>
      <c r="E8">
        <v>30</v>
      </c>
    </row>
    <row r="9" spans="1:5" x14ac:dyDescent="0.25">
      <c r="A9" t="s">
        <v>1763</v>
      </c>
      <c r="B9" t="s">
        <v>1721</v>
      </c>
      <c r="C9" t="s">
        <v>1821</v>
      </c>
      <c r="D9">
        <v>1</v>
      </c>
      <c r="E9">
        <v>50</v>
      </c>
    </row>
    <row r="10" spans="1:5" x14ac:dyDescent="0.25">
      <c r="A10" t="s">
        <v>1764</v>
      </c>
      <c r="B10" t="s">
        <v>1722</v>
      </c>
      <c r="C10" t="s">
        <v>1819</v>
      </c>
      <c r="D10">
        <v>2</v>
      </c>
      <c r="E10">
        <v>10</v>
      </c>
    </row>
    <row r="11" spans="1:5" x14ac:dyDescent="0.25">
      <c r="A11" t="s">
        <v>1765</v>
      </c>
      <c r="B11" t="s">
        <v>1722</v>
      </c>
      <c r="C11" t="s">
        <v>1820</v>
      </c>
      <c r="D11">
        <v>1</v>
      </c>
      <c r="E11">
        <v>30</v>
      </c>
    </row>
    <row r="12" spans="1:5" x14ac:dyDescent="0.25">
      <c r="A12" t="s">
        <v>1766</v>
      </c>
      <c r="B12" t="s">
        <v>1723</v>
      </c>
      <c r="C12" t="s">
        <v>1819</v>
      </c>
      <c r="D12">
        <v>2</v>
      </c>
      <c r="E12">
        <v>10</v>
      </c>
    </row>
    <row r="13" spans="1:5" x14ac:dyDescent="0.25">
      <c r="A13" t="s">
        <v>1767</v>
      </c>
      <c r="B13" t="s">
        <v>1723</v>
      </c>
      <c r="C13" t="s">
        <v>1820</v>
      </c>
      <c r="D13">
        <v>1</v>
      </c>
      <c r="E13">
        <v>30</v>
      </c>
    </row>
    <row r="14" spans="1:5" x14ac:dyDescent="0.25">
      <c r="A14" t="s">
        <v>1768</v>
      </c>
      <c r="B14" t="s">
        <v>1724</v>
      </c>
      <c r="C14" t="s">
        <v>1819</v>
      </c>
      <c r="D14">
        <v>2</v>
      </c>
      <c r="E14">
        <v>10</v>
      </c>
    </row>
    <row r="15" spans="1:5" x14ac:dyDescent="0.25">
      <c r="A15" t="s">
        <v>1769</v>
      </c>
      <c r="B15" t="s">
        <v>1724</v>
      </c>
      <c r="C15" t="s">
        <v>1820</v>
      </c>
      <c r="D15">
        <v>1</v>
      </c>
      <c r="E15">
        <v>30</v>
      </c>
    </row>
    <row r="16" spans="1:5" x14ac:dyDescent="0.25">
      <c r="A16" t="s">
        <v>1770</v>
      </c>
      <c r="B16" t="s">
        <v>1725</v>
      </c>
      <c r="C16" t="s">
        <v>1819</v>
      </c>
      <c r="D16">
        <v>3</v>
      </c>
      <c r="E16">
        <v>10</v>
      </c>
    </row>
    <row r="17" spans="1:5" x14ac:dyDescent="0.25">
      <c r="A17" t="s">
        <v>1771</v>
      </c>
      <c r="B17" t="s">
        <v>1725</v>
      </c>
      <c r="C17" t="s">
        <v>1820</v>
      </c>
      <c r="D17">
        <v>1</v>
      </c>
      <c r="E17">
        <v>30</v>
      </c>
    </row>
    <row r="18" spans="1:5" x14ac:dyDescent="0.25">
      <c r="A18" t="s">
        <v>1772</v>
      </c>
      <c r="B18" t="s">
        <v>1726</v>
      </c>
      <c r="C18" t="s">
        <v>1819</v>
      </c>
      <c r="D18">
        <v>2</v>
      </c>
      <c r="E18">
        <v>10</v>
      </c>
    </row>
    <row r="19" spans="1:5" x14ac:dyDescent="0.25">
      <c r="A19" t="s">
        <v>1773</v>
      </c>
      <c r="B19" t="s">
        <v>1726</v>
      </c>
      <c r="C19" t="s">
        <v>1820</v>
      </c>
      <c r="D19">
        <v>1</v>
      </c>
      <c r="E19">
        <v>30</v>
      </c>
    </row>
    <row r="20" spans="1:5" x14ac:dyDescent="0.25">
      <c r="A20" t="s">
        <v>1774</v>
      </c>
      <c r="B20" t="s">
        <v>1727</v>
      </c>
      <c r="C20" t="s">
        <v>1819</v>
      </c>
      <c r="D20">
        <v>2</v>
      </c>
      <c r="E20">
        <v>10</v>
      </c>
    </row>
    <row r="21" spans="1:5" x14ac:dyDescent="0.25">
      <c r="A21" t="s">
        <v>1775</v>
      </c>
      <c r="B21" t="s">
        <v>1727</v>
      </c>
      <c r="C21" t="s">
        <v>1820</v>
      </c>
      <c r="D21">
        <v>1</v>
      </c>
      <c r="E21">
        <v>30</v>
      </c>
    </row>
    <row r="22" spans="1:5" x14ac:dyDescent="0.25">
      <c r="A22" t="s">
        <v>1776</v>
      </c>
      <c r="B22" t="s">
        <v>1728</v>
      </c>
      <c r="C22" t="s">
        <v>1819</v>
      </c>
      <c r="D22">
        <v>2</v>
      </c>
      <c r="E22">
        <v>10</v>
      </c>
    </row>
    <row r="23" spans="1:5" x14ac:dyDescent="0.25">
      <c r="A23" t="s">
        <v>1777</v>
      </c>
      <c r="B23" t="s">
        <v>1728</v>
      </c>
      <c r="C23" t="s">
        <v>1820</v>
      </c>
      <c r="D23">
        <v>1</v>
      </c>
      <c r="E23">
        <v>30</v>
      </c>
    </row>
    <row r="24" spans="1:5" x14ac:dyDescent="0.25">
      <c r="A24" t="s">
        <v>1778</v>
      </c>
      <c r="B24" t="s">
        <v>1729</v>
      </c>
      <c r="C24" t="s">
        <v>1819</v>
      </c>
      <c r="D24">
        <v>2</v>
      </c>
      <c r="E24">
        <v>10</v>
      </c>
    </row>
    <row r="25" spans="1:5" x14ac:dyDescent="0.25">
      <c r="A25" t="s">
        <v>1779</v>
      </c>
      <c r="B25" t="s">
        <v>1729</v>
      </c>
      <c r="C25" t="s">
        <v>1820</v>
      </c>
      <c r="D25">
        <v>1</v>
      </c>
      <c r="E25">
        <v>30</v>
      </c>
    </row>
    <row r="26" spans="1:5" x14ac:dyDescent="0.25">
      <c r="A26" t="s">
        <v>1780</v>
      </c>
      <c r="B26" t="s">
        <v>1730</v>
      </c>
      <c r="C26" t="s">
        <v>1819</v>
      </c>
      <c r="D26">
        <v>2</v>
      </c>
      <c r="E26">
        <v>10</v>
      </c>
    </row>
    <row r="27" spans="1:5" x14ac:dyDescent="0.25">
      <c r="A27" t="s">
        <v>1781</v>
      </c>
      <c r="B27" t="s">
        <v>1730</v>
      </c>
      <c r="C27" t="s">
        <v>1820</v>
      </c>
      <c r="D27">
        <v>1</v>
      </c>
      <c r="E27">
        <v>30</v>
      </c>
    </row>
    <row r="28" spans="1:5" x14ac:dyDescent="0.25">
      <c r="A28" t="s">
        <v>1782</v>
      </c>
      <c r="B28" t="s">
        <v>1731</v>
      </c>
      <c r="C28" t="s">
        <v>1819</v>
      </c>
      <c r="D28">
        <v>4</v>
      </c>
      <c r="E28">
        <v>10</v>
      </c>
    </row>
    <row r="29" spans="1:5" x14ac:dyDescent="0.25">
      <c r="A29" t="s">
        <v>1783</v>
      </c>
      <c r="B29" t="s">
        <v>1731</v>
      </c>
      <c r="C29" t="s">
        <v>1821</v>
      </c>
      <c r="D29">
        <v>1</v>
      </c>
      <c r="E29">
        <v>50</v>
      </c>
    </row>
    <row r="30" spans="1:5" x14ac:dyDescent="0.25">
      <c r="A30" t="s">
        <v>1784</v>
      </c>
      <c r="B30" t="s">
        <v>1732</v>
      </c>
      <c r="C30" t="s">
        <v>1819</v>
      </c>
      <c r="D30">
        <v>4</v>
      </c>
      <c r="E30">
        <v>10</v>
      </c>
    </row>
    <row r="31" spans="1:5" x14ac:dyDescent="0.25">
      <c r="A31" t="s">
        <v>1785</v>
      </c>
      <c r="B31" t="s">
        <v>1732</v>
      </c>
      <c r="C31" t="s">
        <v>1821</v>
      </c>
      <c r="D31">
        <v>1</v>
      </c>
      <c r="E31">
        <v>50</v>
      </c>
    </row>
    <row r="32" spans="1:5" x14ac:dyDescent="0.25">
      <c r="A32" t="s">
        <v>1786</v>
      </c>
      <c r="B32" t="s">
        <v>1733</v>
      </c>
      <c r="C32" t="s">
        <v>1819</v>
      </c>
      <c r="D32">
        <v>4</v>
      </c>
      <c r="E32">
        <v>10</v>
      </c>
    </row>
    <row r="33" spans="1:5" x14ac:dyDescent="0.25">
      <c r="A33" t="s">
        <v>1787</v>
      </c>
      <c r="B33" t="s">
        <v>1733</v>
      </c>
      <c r="C33" t="s">
        <v>1821</v>
      </c>
      <c r="D33">
        <v>1</v>
      </c>
      <c r="E33">
        <v>50</v>
      </c>
    </row>
    <row r="34" spans="1:5" x14ac:dyDescent="0.25">
      <c r="A34" t="s">
        <v>1788</v>
      </c>
      <c r="B34" t="s">
        <v>1734</v>
      </c>
      <c r="C34" t="s">
        <v>1819</v>
      </c>
      <c r="D34">
        <v>4</v>
      </c>
      <c r="E34">
        <v>10</v>
      </c>
    </row>
    <row r="35" spans="1:5" x14ac:dyDescent="0.25">
      <c r="A35" t="s">
        <v>1789</v>
      </c>
      <c r="B35" t="s">
        <v>1734</v>
      </c>
      <c r="C35" t="s">
        <v>1821</v>
      </c>
      <c r="D35">
        <v>1</v>
      </c>
      <c r="E35">
        <v>50</v>
      </c>
    </row>
    <row r="36" spans="1:5" x14ac:dyDescent="0.25">
      <c r="A36" t="s">
        <v>1790</v>
      </c>
      <c r="B36" t="s">
        <v>1735</v>
      </c>
      <c r="C36" t="s">
        <v>1819</v>
      </c>
      <c r="D36">
        <v>6</v>
      </c>
      <c r="E36">
        <v>10</v>
      </c>
    </row>
    <row r="37" spans="1:5" x14ac:dyDescent="0.25">
      <c r="A37" t="s">
        <v>1791</v>
      </c>
      <c r="B37" t="s">
        <v>1735</v>
      </c>
      <c r="C37" t="s">
        <v>1821</v>
      </c>
      <c r="D37">
        <v>1.5</v>
      </c>
      <c r="E37">
        <v>50</v>
      </c>
    </row>
    <row r="38" spans="1:5" x14ac:dyDescent="0.25">
      <c r="A38" t="s">
        <v>1792</v>
      </c>
      <c r="B38" t="s">
        <v>1735</v>
      </c>
      <c r="C38" t="s">
        <v>1820</v>
      </c>
      <c r="D38">
        <v>1</v>
      </c>
      <c r="E38">
        <v>30</v>
      </c>
    </row>
    <row r="39" spans="1:5" x14ac:dyDescent="0.25">
      <c r="A39" t="s">
        <v>1793</v>
      </c>
      <c r="B39" t="s">
        <v>1736</v>
      </c>
      <c r="C39" t="s">
        <v>1819</v>
      </c>
      <c r="D39">
        <v>1</v>
      </c>
      <c r="E39">
        <v>10</v>
      </c>
    </row>
    <row r="40" spans="1:5" x14ac:dyDescent="0.25">
      <c r="A40" t="s">
        <v>1794</v>
      </c>
      <c r="B40" t="s">
        <v>1736</v>
      </c>
      <c r="C40" t="s">
        <v>1821</v>
      </c>
      <c r="D40">
        <v>0.5</v>
      </c>
      <c r="E40">
        <v>50</v>
      </c>
    </row>
    <row r="41" spans="1:5" x14ac:dyDescent="0.25">
      <c r="A41" t="s">
        <v>1795</v>
      </c>
      <c r="B41" t="s">
        <v>1737</v>
      </c>
      <c r="C41" t="s">
        <v>1819</v>
      </c>
      <c r="D41">
        <v>4</v>
      </c>
      <c r="E41">
        <v>10</v>
      </c>
    </row>
    <row r="42" spans="1:5" x14ac:dyDescent="0.25">
      <c r="A42" t="s">
        <v>1796</v>
      </c>
      <c r="B42" t="s">
        <v>1737</v>
      </c>
      <c r="C42" t="s">
        <v>1821</v>
      </c>
      <c r="D42">
        <v>1</v>
      </c>
      <c r="E42">
        <v>50</v>
      </c>
    </row>
    <row r="43" spans="1:5" x14ac:dyDescent="0.25">
      <c r="A43" t="s">
        <v>1797</v>
      </c>
      <c r="B43" t="s">
        <v>1738</v>
      </c>
      <c r="C43" t="s">
        <v>1819</v>
      </c>
      <c r="D43">
        <v>4</v>
      </c>
      <c r="E43">
        <v>10</v>
      </c>
    </row>
    <row r="44" spans="1:5" x14ac:dyDescent="0.25">
      <c r="A44" t="s">
        <v>1798</v>
      </c>
      <c r="B44" t="s">
        <v>1738</v>
      </c>
      <c r="C44" t="s">
        <v>1821</v>
      </c>
      <c r="D44">
        <v>1</v>
      </c>
      <c r="E44">
        <v>50</v>
      </c>
    </row>
    <row r="45" spans="1:5" x14ac:dyDescent="0.25">
      <c r="A45" t="s">
        <v>1799</v>
      </c>
      <c r="B45" t="s">
        <v>1739</v>
      </c>
      <c r="C45" t="s">
        <v>1819</v>
      </c>
      <c r="D45">
        <v>4</v>
      </c>
      <c r="E45">
        <v>10</v>
      </c>
    </row>
    <row r="46" spans="1:5" x14ac:dyDescent="0.25">
      <c r="A46" t="s">
        <v>1800</v>
      </c>
      <c r="B46" t="s">
        <v>1739</v>
      </c>
      <c r="C46" t="s">
        <v>1821</v>
      </c>
      <c r="D46">
        <v>1</v>
      </c>
      <c r="E46">
        <v>50</v>
      </c>
    </row>
    <row r="47" spans="1:5" x14ac:dyDescent="0.25">
      <c r="A47" t="s">
        <v>1801</v>
      </c>
      <c r="B47" t="s">
        <v>1740</v>
      </c>
      <c r="C47" t="s">
        <v>1820</v>
      </c>
      <c r="D47">
        <v>2</v>
      </c>
      <c r="E47">
        <v>30</v>
      </c>
    </row>
    <row r="48" spans="1:5" x14ac:dyDescent="0.25">
      <c r="A48" t="s">
        <v>1802</v>
      </c>
      <c r="B48" t="s">
        <v>1740</v>
      </c>
      <c r="C48" t="s">
        <v>1821</v>
      </c>
      <c r="D48">
        <v>1</v>
      </c>
      <c r="E48">
        <v>50</v>
      </c>
    </row>
    <row r="49" spans="1:5" x14ac:dyDescent="0.25">
      <c r="A49" t="s">
        <v>1803</v>
      </c>
      <c r="B49" t="s">
        <v>1741</v>
      </c>
      <c r="C49" t="s">
        <v>1820</v>
      </c>
      <c r="D49">
        <v>2</v>
      </c>
      <c r="E49">
        <v>30</v>
      </c>
    </row>
    <row r="50" spans="1:5" x14ac:dyDescent="0.25">
      <c r="A50" t="s">
        <v>1804</v>
      </c>
      <c r="B50" t="s">
        <v>1741</v>
      </c>
      <c r="C50" t="s">
        <v>1821</v>
      </c>
      <c r="D50">
        <v>1</v>
      </c>
      <c r="E50">
        <v>50</v>
      </c>
    </row>
    <row r="51" spans="1:5" x14ac:dyDescent="0.25">
      <c r="A51" t="s">
        <v>1805</v>
      </c>
      <c r="B51" t="s">
        <v>1742</v>
      </c>
      <c r="C51" t="s">
        <v>1820</v>
      </c>
      <c r="D51">
        <v>2</v>
      </c>
      <c r="E51">
        <v>30</v>
      </c>
    </row>
    <row r="52" spans="1:5" x14ac:dyDescent="0.25">
      <c r="A52" t="s">
        <v>1806</v>
      </c>
      <c r="B52" t="s">
        <v>1742</v>
      </c>
      <c r="C52" t="s">
        <v>1821</v>
      </c>
      <c r="D52">
        <v>1</v>
      </c>
      <c r="E52">
        <v>50</v>
      </c>
    </row>
    <row r="53" spans="1:5" x14ac:dyDescent="0.25">
      <c r="A53" t="s">
        <v>1807</v>
      </c>
      <c r="B53" t="s">
        <v>1743</v>
      </c>
      <c r="C53" t="s">
        <v>1820</v>
      </c>
      <c r="D53">
        <v>2</v>
      </c>
      <c r="E53">
        <v>30</v>
      </c>
    </row>
    <row r="54" spans="1:5" x14ac:dyDescent="0.25">
      <c r="A54" t="s">
        <v>1808</v>
      </c>
      <c r="B54" t="s">
        <v>1743</v>
      </c>
      <c r="C54" t="s">
        <v>1821</v>
      </c>
      <c r="D54">
        <v>1</v>
      </c>
      <c r="E54">
        <v>50</v>
      </c>
    </row>
    <row r="55" spans="1:5" x14ac:dyDescent="0.25">
      <c r="A55" t="s">
        <v>1809</v>
      </c>
      <c r="B55" t="s">
        <v>1744</v>
      </c>
      <c r="C55" t="s">
        <v>1820</v>
      </c>
      <c r="D55">
        <v>2</v>
      </c>
      <c r="E55">
        <v>30</v>
      </c>
    </row>
    <row r="56" spans="1:5" x14ac:dyDescent="0.25">
      <c r="A56" t="s">
        <v>1810</v>
      </c>
      <c r="B56" t="s">
        <v>1744</v>
      </c>
      <c r="C56" t="s">
        <v>1821</v>
      </c>
      <c r="D56">
        <v>1</v>
      </c>
      <c r="E56">
        <v>50</v>
      </c>
    </row>
    <row r="57" spans="1:5" x14ac:dyDescent="0.25">
      <c r="A57" t="s">
        <v>1811</v>
      </c>
      <c r="B57" t="s">
        <v>1745</v>
      </c>
      <c r="C57" t="s">
        <v>1820</v>
      </c>
      <c r="D57">
        <v>2</v>
      </c>
      <c r="E57">
        <v>30</v>
      </c>
    </row>
    <row r="58" spans="1:5" x14ac:dyDescent="0.25">
      <c r="A58" t="s">
        <v>1812</v>
      </c>
      <c r="B58" t="s">
        <v>1745</v>
      </c>
      <c r="C58" t="s">
        <v>1821</v>
      </c>
      <c r="D58">
        <v>1</v>
      </c>
      <c r="E58">
        <v>50</v>
      </c>
    </row>
    <row r="59" spans="1:5" x14ac:dyDescent="0.25">
      <c r="A59" t="s">
        <v>1813</v>
      </c>
      <c r="B59" t="s">
        <v>1746</v>
      </c>
      <c r="C59" t="s">
        <v>1820</v>
      </c>
      <c r="D59">
        <v>2</v>
      </c>
      <c r="E59">
        <v>30</v>
      </c>
    </row>
    <row r="60" spans="1:5" x14ac:dyDescent="0.25">
      <c r="A60" t="s">
        <v>1814</v>
      </c>
      <c r="B60" t="s">
        <v>1746</v>
      </c>
      <c r="C60" t="s">
        <v>1821</v>
      </c>
      <c r="D60">
        <v>1</v>
      </c>
      <c r="E60">
        <v>50</v>
      </c>
    </row>
    <row r="61" spans="1:5" x14ac:dyDescent="0.25">
      <c r="A61" t="s">
        <v>1815</v>
      </c>
      <c r="B61" t="s">
        <v>1747</v>
      </c>
      <c r="C61" t="s">
        <v>1820</v>
      </c>
      <c r="D61">
        <v>3</v>
      </c>
      <c r="E61">
        <v>30</v>
      </c>
    </row>
    <row r="62" spans="1:5" x14ac:dyDescent="0.25">
      <c r="A62" t="s">
        <v>1816</v>
      </c>
      <c r="B62" t="s">
        <v>1747</v>
      </c>
      <c r="C62" t="s">
        <v>1821</v>
      </c>
      <c r="D62">
        <v>1.5</v>
      </c>
      <c r="E62">
        <v>50</v>
      </c>
    </row>
    <row r="63" spans="1:5" x14ac:dyDescent="0.25">
      <c r="A63" t="s">
        <v>1817</v>
      </c>
      <c r="B63" t="s">
        <v>1748</v>
      </c>
      <c r="C63" t="s">
        <v>1820</v>
      </c>
      <c r="D63">
        <v>2</v>
      </c>
      <c r="E63">
        <v>30</v>
      </c>
    </row>
    <row r="64" spans="1:5" x14ac:dyDescent="0.25">
      <c r="A64" t="s">
        <v>1818</v>
      </c>
      <c r="B64" t="s">
        <v>1748</v>
      </c>
      <c r="C64" t="s">
        <v>1821</v>
      </c>
      <c r="D64">
        <v>1</v>
      </c>
      <c r="E64">
        <v>50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P15"/>
  <sheetViews>
    <sheetView workbookViewId="0">
      <selection activeCell="A8" sqref="A8"/>
    </sheetView>
  </sheetViews>
  <sheetFormatPr defaultRowHeight="15" x14ac:dyDescent="0.25"/>
  <cols>
    <col min="1" max="1" width="36.7109375" customWidth="1"/>
    <col min="2" max="2" width="14.28515625" customWidth="1"/>
    <col min="3" max="3" width="15.28515625" customWidth="1"/>
    <col min="4" max="4" width="15.42578125" customWidth="1"/>
    <col min="5" max="5" width="37" customWidth="1"/>
    <col min="6" max="6" width="22.140625" bestFit="1" customWidth="1"/>
    <col min="7" max="7" width="39.140625" bestFit="1" customWidth="1"/>
    <col min="8" max="8" width="18.42578125" customWidth="1"/>
    <col min="9" max="9" width="18" bestFit="1" customWidth="1"/>
    <col min="10" max="10" width="13.85546875" customWidth="1"/>
    <col min="11" max="11" width="30.85546875" bestFit="1" customWidth="1"/>
    <col min="12" max="12" width="12" style="13" customWidth="1"/>
    <col min="13" max="13" width="4.5703125" customWidth="1"/>
    <col min="14" max="14" width="5" customWidth="1"/>
    <col min="15" max="15" width="38.85546875" bestFit="1" customWidth="1"/>
    <col min="16" max="16" width="16.85546875" bestFit="1" customWidth="1"/>
    <col min="17" max="17" width="14.140625" customWidth="1"/>
    <col min="18" max="18" width="11.42578125" bestFit="1" customWidth="1"/>
    <col min="19" max="19" width="36.85546875" bestFit="1" customWidth="1"/>
    <col min="20" max="20" width="37" bestFit="1" customWidth="1"/>
  </cols>
  <sheetData>
    <row r="1" spans="1:16" x14ac:dyDescent="0.25">
      <c r="A1" t="s">
        <v>1668</v>
      </c>
    </row>
    <row r="2" spans="1:16" x14ac:dyDescent="0.25">
      <c r="A2" t="s">
        <v>101</v>
      </c>
      <c r="C2" t="s">
        <v>60</v>
      </c>
      <c r="D2" t="s">
        <v>60</v>
      </c>
      <c r="E2" t="s">
        <v>101</v>
      </c>
      <c r="P2" s="6"/>
    </row>
    <row r="3" spans="1:16" x14ac:dyDescent="0.25">
      <c r="A3" t="s">
        <v>0</v>
      </c>
      <c r="B3" t="s">
        <v>1676</v>
      </c>
      <c r="C3" t="s">
        <v>1679</v>
      </c>
      <c r="D3" t="s">
        <v>1680</v>
      </c>
      <c r="E3" t="s">
        <v>1031</v>
      </c>
    </row>
    <row r="4" spans="1:16" x14ac:dyDescent="0.25">
      <c r="A4" t="s">
        <v>1677</v>
      </c>
      <c r="B4" t="s">
        <v>1678</v>
      </c>
      <c r="C4">
        <v>10</v>
      </c>
      <c r="D4" s="11">
        <v>250</v>
      </c>
      <c r="E4" t="s">
        <v>1854</v>
      </c>
      <c r="K4" s="12"/>
      <c r="O4" s="6"/>
      <c r="P4" s="6"/>
    </row>
    <row r="5" spans="1:16" x14ac:dyDescent="0.25">
      <c r="A5" t="s">
        <v>1715</v>
      </c>
      <c r="B5" t="s">
        <v>1829</v>
      </c>
      <c r="C5">
        <v>63</v>
      </c>
      <c r="D5" s="11">
        <v>34</v>
      </c>
      <c r="E5" t="s">
        <v>1834</v>
      </c>
      <c r="K5" s="12"/>
      <c r="O5" s="6"/>
      <c r="P5" s="6"/>
    </row>
    <row r="6" spans="1:16" x14ac:dyDescent="0.25">
      <c r="A6" t="s">
        <v>1830</v>
      </c>
      <c r="B6" t="s">
        <v>1832</v>
      </c>
      <c r="C6">
        <v>1</v>
      </c>
      <c r="D6" s="11">
        <v>2</v>
      </c>
      <c r="E6" t="s">
        <v>98</v>
      </c>
      <c r="K6" s="12"/>
      <c r="O6" s="6"/>
      <c r="P6" s="6"/>
    </row>
    <row r="7" spans="1:16" x14ac:dyDescent="0.25">
      <c r="A7" t="s">
        <v>1831</v>
      </c>
      <c r="B7" t="s">
        <v>1833</v>
      </c>
      <c r="C7">
        <v>10</v>
      </c>
      <c r="D7" s="11">
        <v>0</v>
      </c>
      <c r="E7" t="s">
        <v>98</v>
      </c>
      <c r="K7" s="12"/>
      <c r="O7" s="6"/>
      <c r="P7" s="6"/>
    </row>
    <row r="8" spans="1:16" x14ac:dyDescent="0.25">
      <c r="D8" s="3"/>
      <c r="O8" s="6"/>
    </row>
    <row r="9" spans="1:16" x14ac:dyDescent="0.25">
      <c r="D9" s="3"/>
      <c r="K9" s="12"/>
      <c r="O9" s="6"/>
    </row>
    <row r="10" spans="1:16" x14ac:dyDescent="0.25">
      <c r="D10" s="3"/>
      <c r="K10" s="12"/>
      <c r="O10" s="6"/>
    </row>
    <row r="11" spans="1:16" x14ac:dyDescent="0.25">
      <c r="D11" s="3"/>
      <c r="K11" s="12"/>
      <c r="O11" s="6"/>
      <c r="P11" s="6"/>
    </row>
    <row r="12" spans="1:16" x14ac:dyDescent="0.25">
      <c r="D12" s="3"/>
      <c r="K12" s="12"/>
      <c r="O12" s="6"/>
      <c r="P12" s="6"/>
    </row>
    <row r="13" spans="1:16" x14ac:dyDescent="0.25">
      <c r="K13" s="12"/>
      <c r="O13" s="6"/>
      <c r="P13" s="6"/>
    </row>
    <row r="14" spans="1:16" x14ac:dyDescent="0.25">
      <c r="K14" s="12"/>
      <c r="O14" s="6"/>
      <c r="P14" s="6"/>
    </row>
    <row r="15" spans="1:16" x14ac:dyDescent="0.25">
      <c r="K15" s="12"/>
      <c r="O15" s="6"/>
      <c r="P15" s="6"/>
    </row>
  </sheetData>
  <pageMargins left="0.7" right="0.7" top="0.75" bottom="0.75" header="0.3" footer="0.3"/>
  <pageSetup paperSize="9" orientation="portrait" r:id="rId1"/>
  <legacy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16"/>
  <sheetViews>
    <sheetView workbookViewId="0">
      <selection activeCell="A5" sqref="A5"/>
    </sheetView>
  </sheetViews>
  <sheetFormatPr defaultRowHeight="15" x14ac:dyDescent="0.25"/>
  <cols>
    <col min="1" max="2" width="36.7109375" customWidth="1"/>
    <col min="3" max="3" width="14.28515625" customWidth="1"/>
    <col min="4" max="4" width="22.7109375" bestFit="1" customWidth="1"/>
    <col min="5" max="5" width="36.5703125" customWidth="1"/>
    <col min="6" max="6" width="17.85546875" bestFit="1" customWidth="1"/>
    <col min="7" max="7" width="9.140625" customWidth="1"/>
    <col min="8" max="8" width="9.5703125" customWidth="1"/>
    <col min="9" max="9" width="9.28515625" customWidth="1"/>
    <col min="10" max="10" width="10.85546875" style="11" customWidth="1"/>
    <col min="11" max="11" width="16.7109375" customWidth="1"/>
    <col min="12" max="12" width="22.140625" bestFit="1" customWidth="1"/>
    <col min="13" max="13" width="39.140625" bestFit="1" customWidth="1"/>
    <col min="14" max="14" width="18.42578125" customWidth="1"/>
    <col min="15" max="15" width="18" bestFit="1" customWidth="1"/>
    <col min="16" max="16" width="13.85546875" customWidth="1"/>
    <col min="17" max="17" width="30.85546875" bestFit="1" customWidth="1"/>
    <col min="18" max="18" width="12" style="13" customWidth="1"/>
    <col min="19" max="19" width="4.5703125" customWidth="1"/>
    <col min="20" max="20" width="5" customWidth="1"/>
    <col min="21" max="21" width="38.85546875" bestFit="1" customWidth="1"/>
    <col min="22" max="22" width="16.85546875" bestFit="1" customWidth="1"/>
    <col min="23" max="23" width="14.140625" customWidth="1"/>
    <col min="24" max="24" width="11.42578125" bestFit="1" customWidth="1"/>
    <col min="25" max="25" width="36.85546875" bestFit="1" customWidth="1"/>
    <col min="26" max="26" width="37" bestFit="1" customWidth="1"/>
  </cols>
  <sheetData>
    <row r="1" spans="1:22" x14ac:dyDescent="0.25">
      <c r="A1" t="s">
        <v>1673</v>
      </c>
    </row>
    <row r="2" spans="1:22" x14ac:dyDescent="0.25">
      <c r="A2" t="s">
        <v>101</v>
      </c>
      <c r="B2" t="s">
        <v>101</v>
      </c>
      <c r="E2" t="s">
        <v>101</v>
      </c>
      <c r="G2" t="s">
        <v>60</v>
      </c>
      <c r="H2" t="s">
        <v>60</v>
      </c>
      <c r="I2" t="s">
        <v>60</v>
      </c>
      <c r="J2" s="11" t="s">
        <v>60</v>
      </c>
      <c r="K2" t="s">
        <v>5</v>
      </c>
      <c r="V2" s="6"/>
    </row>
    <row r="3" spans="1:22" x14ac:dyDescent="0.25">
      <c r="A3" t="s">
        <v>0</v>
      </c>
      <c r="B3" t="s">
        <v>35</v>
      </c>
      <c r="C3" t="s">
        <v>1676</v>
      </c>
      <c r="D3" t="s">
        <v>1001</v>
      </c>
      <c r="E3" t="s">
        <v>1668</v>
      </c>
      <c r="F3" t="s">
        <v>1687</v>
      </c>
      <c r="G3" t="s">
        <v>1682</v>
      </c>
      <c r="H3" t="s">
        <v>1683</v>
      </c>
      <c r="I3" t="s">
        <v>1684</v>
      </c>
      <c r="J3" s="11" t="s">
        <v>1685</v>
      </c>
      <c r="K3" t="s">
        <v>1686</v>
      </c>
    </row>
    <row r="4" spans="1:22" x14ac:dyDescent="0.25">
      <c r="A4" t="s">
        <v>1681</v>
      </c>
      <c r="B4" t="s">
        <v>1645</v>
      </c>
      <c r="C4" t="s">
        <v>1688</v>
      </c>
      <c r="D4" t="s">
        <v>1689</v>
      </c>
      <c r="E4" t="s">
        <v>1677</v>
      </c>
      <c r="F4" t="s">
        <v>1690</v>
      </c>
      <c r="G4">
        <v>263</v>
      </c>
      <c r="H4">
        <v>-0.97360000000000002</v>
      </c>
      <c r="I4">
        <v>-5.9200000000000003E-2</v>
      </c>
      <c r="J4" s="11">
        <v>4.0000000000000002E-4</v>
      </c>
      <c r="K4" s="11">
        <v>0</v>
      </c>
      <c r="Q4" s="12"/>
      <c r="U4" s="6"/>
      <c r="V4" s="6"/>
    </row>
    <row r="5" spans="1:22" x14ac:dyDescent="0.25">
      <c r="U5" s="6"/>
      <c r="V5" s="6"/>
    </row>
    <row r="6" spans="1:22" x14ac:dyDescent="0.25">
      <c r="U6" s="6"/>
      <c r="V6" s="6"/>
    </row>
    <row r="7" spans="1:22" x14ac:dyDescent="0.25">
      <c r="U7" s="6"/>
      <c r="V7" s="6"/>
    </row>
    <row r="8" spans="1:22" x14ac:dyDescent="0.25">
      <c r="U8" s="6"/>
      <c r="V8" s="6"/>
    </row>
    <row r="9" spans="1:22" x14ac:dyDescent="0.25">
      <c r="U9" s="6"/>
    </row>
    <row r="10" spans="1:22" x14ac:dyDescent="0.25">
      <c r="Q10" s="12"/>
      <c r="U10" s="6"/>
    </row>
    <row r="11" spans="1:22" x14ac:dyDescent="0.25">
      <c r="Q11" s="12"/>
      <c r="U11" s="6"/>
    </row>
    <row r="12" spans="1:22" x14ac:dyDescent="0.25">
      <c r="Q12" s="12"/>
      <c r="U12" s="6"/>
      <c r="V12" s="6"/>
    </row>
    <row r="13" spans="1:22" x14ac:dyDescent="0.25">
      <c r="Q13" s="12"/>
      <c r="U13" s="6"/>
      <c r="V13" s="6"/>
    </row>
    <row r="14" spans="1:22" x14ac:dyDescent="0.25">
      <c r="Q14" s="12"/>
      <c r="U14" s="6"/>
      <c r="V14" s="6"/>
    </row>
    <row r="15" spans="1:22" x14ac:dyDescent="0.25">
      <c r="Q15" s="12"/>
      <c r="U15" s="6"/>
      <c r="V15" s="6"/>
    </row>
    <row r="16" spans="1:22" x14ac:dyDescent="0.25">
      <c r="Q16" s="12"/>
      <c r="U16" s="6"/>
      <c r="V16" s="6"/>
    </row>
  </sheetData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8"/>
  <sheetViews>
    <sheetView workbookViewId="0">
      <selection activeCell="A19" sqref="A19"/>
    </sheetView>
  </sheetViews>
  <sheetFormatPr defaultRowHeight="15" x14ac:dyDescent="0.25"/>
  <cols>
    <col min="1" max="1" width="36.7109375" customWidth="1"/>
    <col min="2" max="2" width="14.28515625" customWidth="1"/>
    <col min="3" max="3" width="11.140625" customWidth="1"/>
    <col min="4" max="5" width="10" customWidth="1"/>
    <col min="6" max="6" width="36.5703125" customWidth="1"/>
    <col min="7" max="7" width="17.85546875" bestFit="1" customWidth="1"/>
    <col min="8" max="8" width="9.140625" customWidth="1"/>
    <col min="9" max="9" width="9.5703125" customWidth="1"/>
    <col min="10" max="10" width="9.28515625" customWidth="1"/>
    <col min="11" max="11" width="10.85546875" style="11" customWidth="1"/>
    <col min="12" max="12" width="16.7109375" customWidth="1"/>
    <col min="13" max="13" width="22.140625" bestFit="1" customWidth="1"/>
    <col min="14" max="14" width="39.140625" bestFit="1" customWidth="1"/>
    <col min="15" max="15" width="18.42578125" customWidth="1"/>
    <col min="16" max="16" width="18" bestFit="1" customWidth="1"/>
    <col min="17" max="17" width="13.85546875" customWidth="1"/>
    <col min="18" max="18" width="30.85546875" bestFit="1" customWidth="1"/>
    <col min="19" max="19" width="12" style="13" customWidth="1"/>
    <col min="20" max="20" width="4.5703125" customWidth="1"/>
    <col min="21" max="21" width="5" customWidth="1"/>
    <col min="22" max="22" width="38.85546875" bestFit="1" customWidth="1"/>
    <col min="23" max="23" width="16.85546875" bestFit="1" customWidth="1"/>
    <col min="24" max="24" width="14.140625" customWidth="1"/>
    <col min="25" max="25" width="11.42578125" bestFit="1" customWidth="1"/>
    <col min="26" max="26" width="36.85546875" bestFit="1" customWidth="1"/>
    <col min="27" max="27" width="37" bestFit="1" customWidth="1"/>
  </cols>
  <sheetData>
    <row r="1" spans="1:23" x14ac:dyDescent="0.25">
      <c r="A1" t="s">
        <v>1674</v>
      </c>
    </row>
    <row r="2" spans="1:23" x14ac:dyDescent="0.25">
      <c r="A2" t="s">
        <v>101</v>
      </c>
      <c r="C2" t="s">
        <v>5</v>
      </c>
      <c r="D2" t="s">
        <v>60</v>
      </c>
      <c r="E2" t="s">
        <v>60</v>
      </c>
      <c r="F2" t="s">
        <v>101</v>
      </c>
      <c r="W2" s="6"/>
    </row>
    <row r="3" spans="1:23" x14ac:dyDescent="0.25">
      <c r="A3" t="s">
        <v>0</v>
      </c>
      <c r="B3" t="s">
        <v>1691</v>
      </c>
      <c r="C3" t="s">
        <v>1076</v>
      </c>
      <c r="D3" t="s">
        <v>1708</v>
      </c>
      <c r="E3" t="s">
        <v>1709</v>
      </c>
      <c r="F3" t="s">
        <v>1668</v>
      </c>
    </row>
    <row r="4" spans="1:23" x14ac:dyDescent="0.25">
      <c r="A4" t="s">
        <v>1693</v>
      </c>
      <c r="B4" t="s">
        <v>1692</v>
      </c>
      <c r="C4">
        <v>8454016</v>
      </c>
      <c r="D4">
        <v>10</v>
      </c>
      <c r="E4">
        <v>40</v>
      </c>
      <c r="F4" t="s">
        <v>1677</v>
      </c>
      <c r="L4" s="11"/>
      <c r="R4" s="12"/>
      <c r="V4" s="6"/>
      <c r="W4" s="6"/>
    </row>
    <row r="5" spans="1:23" x14ac:dyDescent="0.25">
      <c r="A5" t="s">
        <v>1694</v>
      </c>
      <c r="B5" t="s">
        <v>1696</v>
      </c>
      <c r="C5">
        <v>13864879</v>
      </c>
      <c r="D5">
        <v>50</v>
      </c>
      <c r="E5">
        <v>90</v>
      </c>
      <c r="F5" t="s">
        <v>1677</v>
      </c>
      <c r="L5" s="11"/>
      <c r="R5" s="12"/>
      <c r="V5" s="6"/>
      <c r="W5" s="6"/>
    </row>
    <row r="6" spans="1:23" x14ac:dyDescent="0.25">
      <c r="A6" t="s">
        <v>1695</v>
      </c>
      <c r="B6" t="s">
        <v>1697</v>
      </c>
      <c r="C6">
        <v>12632318</v>
      </c>
      <c r="D6">
        <v>100</v>
      </c>
      <c r="E6">
        <v>150</v>
      </c>
      <c r="F6" t="s">
        <v>1677</v>
      </c>
      <c r="L6" s="11"/>
      <c r="R6" s="12"/>
      <c r="V6" s="6"/>
      <c r="W6" s="6"/>
    </row>
    <row r="7" spans="1:23" x14ac:dyDescent="0.25">
      <c r="A7" t="s">
        <v>1852</v>
      </c>
      <c r="B7" t="s">
        <v>1705</v>
      </c>
      <c r="C7">
        <v>8454143</v>
      </c>
      <c r="D7">
        <v>160</v>
      </c>
      <c r="E7">
        <v>210</v>
      </c>
      <c r="F7" t="s">
        <v>1677</v>
      </c>
      <c r="L7" s="11"/>
      <c r="R7" s="12"/>
      <c r="V7" s="6"/>
      <c r="W7" s="6"/>
    </row>
    <row r="8" spans="1:23" x14ac:dyDescent="0.25">
      <c r="A8" t="s">
        <v>1853</v>
      </c>
      <c r="B8" t="s">
        <v>1706</v>
      </c>
      <c r="C8">
        <v>555555</v>
      </c>
      <c r="D8">
        <v>220</v>
      </c>
      <c r="E8">
        <v>250</v>
      </c>
      <c r="F8" t="s">
        <v>1677</v>
      </c>
      <c r="L8" s="11"/>
      <c r="R8" s="12"/>
      <c r="V8" s="6"/>
      <c r="W8" s="6"/>
    </row>
    <row r="9" spans="1:23" x14ac:dyDescent="0.25">
      <c r="A9" t="s">
        <v>1716</v>
      </c>
      <c r="B9" t="s">
        <v>1838</v>
      </c>
      <c r="C9">
        <v>-7879519</v>
      </c>
      <c r="D9">
        <v>0</v>
      </c>
      <c r="E9">
        <v>34</v>
      </c>
      <c r="F9" t="s">
        <v>1715</v>
      </c>
      <c r="L9" s="11"/>
      <c r="R9" s="12"/>
      <c r="V9" s="6"/>
      <c r="W9" s="6"/>
    </row>
    <row r="10" spans="1:23" x14ac:dyDescent="0.25">
      <c r="A10" t="s">
        <v>1717</v>
      </c>
      <c r="B10" t="s">
        <v>1839</v>
      </c>
      <c r="C10">
        <v>-9261958</v>
      </c>
      <c r="D10">
        <v>35</v>
      </c>
      <c r="E10">
        <v>41</v>
      </c>
      <c r="F10" t="s">
        <v>1715</v>
      </c>
      <c r="L10" s="11"/>
      <c r="R10" s="12"/>
      <c r="V10" s="6"/>
      <c r="W10" s="6"/>
    </row>
    <row r="11" spans="1:23" x14ac:dyDescent="0.25">
      <c r="A11" t="s">
        <v>1718</v>
      </c>
      <c r="B11" t="s">
        <v>1840</v>
      </c>
      <c r="C11">
        <v>-2760512</v>
      </c>
      <c r="D11">
        <v>42</v>
      </c>
      <c r="E11">
        <v>48</v>
      </c>
      <c r="F11" t="s">
        <v>1715</v>
      </c>
      <c r="L11" s="11"/>
      <c r="R11" s="12"/>
      <c r="V11" s="6"/>
      <c r="W11" s="6"/>
    </row>
    <row r="12" spans="1:23" x14ac:dyDescent="0.25">
      <c r="A12" t="s">
        <v>1835</v>
      </c>
      <c r="B12" t="s">
        <v>1841</v>
      </c>
      <c r="C12">
        <v>-7879519</v>
      </c>
      <c r="D12">
        <v>49</v>
      </c>
      <c r="E12">
        <v>55</v>
      </c>
      <c r="F12" t="s">
        <v>1715</v>
      </c>
      <c r="L12" s="11"/>
      <c r="R12" s="12"/>
      <c r="V12" s="6"/>
      <c r="W12" s="6"/>
    </row>
    <row r="13" spans="1:23" x14ac:dyDescent="0.25">
      <c r="A13" t="s">
        <v>1836</v>
      </c>
      <c r="B13" t="s">
        <v>1842</v>
      </c>
      <c r="C13">
        <v>-9261958</v>
      </c>
      <c r="D13">
        <v>56</v>
      </c>
      <c r="E13">
        <v>62</v>
      </c>
      <c r="F13" t="s">
        <v>1715</v>
      </c>
      <c r="L13" s="11"/>
      <c r="R13" s="12"/>
      <c r="V13" s="6"/>
      <c r="W13" s="6"/>
    </row>
    <row r="14" spans="1:23" x14ac:dyDescent="0.25">
      <c r="A14" t="s">
        <v>1837</v>
      </c>
      <c r="B14" t="s">
        <v>1843</v>
      </c>
      <c r="C14">
        <v>-2760512</v>
      </c>
      <c r="D14">
        <v>63</v>
      </c>
      <c r="E14">
        <v>100</v>
      </c>
      <c r="F14" t="s">
        <v>1715</v>
      </c>
      <c r="L14" s="11"/>
      <c r="R14" s="12"/>
      <c r="V14" s="6"/>
      <c r="W14" s="6"/>
    </row>
    <row r="15" spans="1:23" x14ac:dyDescent="0.25">
      <c r="A15" t="s">
        <v>1844</v>
      </c>
      <c r="B15" t="s">
        <v>1848</v>
      </c>
      <c r="C15">
        <v>-7879519</v>
      </c>
      <c r="D15">
        <v>1.46</v>
      </c>
      <c r="E15">
        <v>2</v>
      </c>
      <c r="F15" t="s">
        <v>1830</v>
      </c>
      <c r="L15" s="11"/>
      <c r="R15" s="12"/>
      <c r="V15" s="6"/>
      <c r="W15" s="6"/>
    </row>
    <row r="16" spans="1:23" x14ac:dyDescent="0.25">
      <c r="A16" t="s">
        <v>1845</v>
      </c>
      <c r="B16" t="s">
        <v>1849</v>
      </c>
      <c r="C16">
        <v>-9261958</v>
      </c>
      <c r="D16">
        <v>1.26</v>
      </c>
      <c r="E16">
        <v>1.45</v>
      </c>
      <c r="F16" t="s">
        <v>1830</v>
      </c>
      <c r="L16" s="11"/>
      <c r="R16" s="12"/>
      <c r="V16" s="6"/>
      <c r="W16" s="6"/>
    </row>
    <row r="17" spans="1:23" x14ac:dyDescent="0.25">
      <c r="A17" t="s">
        <v>1846</v>
      </c>
      <c r="B17" t="s">
        <v>1850</v>
      </c>
      <c r="C17">
        <v>-2760512</v>
      </c>
      <c r="D17">
        <v>1.1100000000000001</v>
      </c>
      <c r="E17">
        <v>1.25</v>
      </c>
      <c r="F17" t="s">
        <v>1830</v>
      </c>
      <c r="L17" s="11"/>
      <c r="R17" s="12"/>
      <c r="V17" s="6"/>
      <c r="W17" s="6"/>
    </row>
    <row r="18" spans="1:23" x14ac:dyDescent="0.25">
      <c r="A18" t="s">
        <v>1847</v>
      </c>
      <c r="B18" t="s">
        <v>1851</v>
      </c>
      <c r="C18">
        <v>-7498625</v>
      </c>
      <c r="D18">
        <v>1.04</v>
      </c>
      <c r="E18">
        <v>1.1000000000000001</v>
      </c>
      <c r="F18" t="s">
        <v>1830</v>
      </c>
      <c r="L18" s="11"/>
      <c r="R18" s="12"/>
      <c r="V18" s="6"/>
      <c r="W18" s="6"/>
    </row>
  </sheetData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Y16"/>
  <sheetViews>
    <sheetView workbookViewId="0">
      <selection activeCell="A11" sqref="A11"/>
    </sheetView>
  </sheetViews>
  <sheetFormatPr defaultRowHeight="15" x14ac:dyDescent="0.25"/>
  <cols>
    <col min="1" max="1" width="36.140625" customWidth="1"/>
    <col min="2" max="2" width="16.140625" customWidth="1"/>
    <col min="3" max="3" width="12.7109375" customWidth="1"/>
    <col min="4" max="6" width="10.85546875" customWidth="1"/>
    <col min="7" max="7" width="16.5703125" customWidth="1"/>
    <col min="8" max="8" width="36.5703125" customWidth="1"/>
    <col min="9" max="9" width="17.85546875" bestFit="1" customWidth="1"/>
    <col min="10" max="10" width="9.140625" customWidth="1"/>
    <col min="11" max="11" width="9.5703125" customWidth="1"/>
    <col min="12" max="12" width="9.28515625" customWidth="1"/>
    <col min="13" max="13" width="10.85546875" style="11" customWidth="1"/>
    <col min="14" max="14" width="16.7109375" customWidth="1"/>
    <col min="15" max="15" width="22.140625" bestFit="1" customWidth="1"/>
    <col min="16" max="16" width="39.140625" bestFit="1" customWidth="1"/>
    <col min="17" max="17" width="18.42578125" customWidth="1"/>
    <col min="18" max="18" width="18" bestFit="1" customWidth="1"/>
    <col min="19" max="19" width="13.85546875" customWidth="1"/>
    <col min="20" max="20" width="30.85546875" bestFit="1" customWidth="1"/>
    <col min="21" max="21" width="12" style="13" customWidth="1"/>
    <col min="22" max="22" width="4.5703125" customWidth="1"/>
    <col min="23" max="23" width="5" customWidth="1"/>
    <col min="24" max="24" width="38.85546875" bestFit="1" customWidth="1"/>
    <col min="25" max="25" width="16.85546875" bestFit="1" customWidth="1"/>
    <col min="26" max="26" width="14.140625" customWidth="1"/>
    <col min="27" max="27" width="11.42578125" bestFit="1" customWidth="1"/>
    <col min="28" max="28" width="36.85546875" bestFit="1" customWidth="1"/>
    <col min="29" max="29" width="37" bestFit="1" customWidth="1"/>
  </cols>
  <sheetData>
    <row r="1" spans="1:25" x14ac:dyDescent="0.25">
      <c r="A1" t="s">
        <v>1675</v>
      </c>
    </row>
    <row r="2" spans="1:25" x14ac:dyDescent="0.25">
      <c r="A2" t="s">
        <v>101</v>
      </c>
      <c r="B2" t="s">
        <v>141</v>
      </c>
      <c r="C2" t="s">
        <v>5</v>
      </c>
      <c r="F2" t="s">
        <v>60</v>
      </c>
      <c r="G2" t="s">
        <v>60</v>
      </c>
      <c r="H2" t="s">
        <v>101</v>
      </c>
      <c r="Y2" s="6"/>
    </row>
    <row r="3" spans="1:25" x14ac:dyDescent="0.25">
      <c r="A3" t="s">
        <v>0</v>
      </c>
      <c r="B3" t="s">
        <v>1698</v>
      </c>
      <c r="C3" t="s">
        <v>1699</v>
      </c>
      <c r="D3" t="s">
        <v>1707</v>
      </c>
      <c r="E3" t="s">
        <v>1075</v>
      </c>
      <c r="F3" t="s">
        <v>1700</v>
      </c>
      <c r="G3" t="s">
        <v>1701</v>
      </c>
      <c r="H3" t="s">
        <v>1673</v>
      </c>
    </row>
    <row r="4" spans="1:25" x14ac:dyDescent="0.25">
      <c r="A4" t="s">
        <v>1702</v>
      </c>
      <c r="B4" s="3">
        <f ca="1">TODAY()-20</f>
        <v>45454</v>
      </c>
      <c r="C4">
        <v>1</v>
      </c>
      <c r="D4" t="s">
        <v>1703</v>
      </c>
      <c r="F4">
        <v>10</v>
      </c>
      <c r="G4">
        <v>245</v>
      </c>
      <c r="H4" t="s">
        <v>1681</v>
      </c>
      <c r="N4" s="11"/>
      <c r="T4" s="12"/>
      <c r="X4" s="6"/>
      <c r="Y4" s="6"/>
    </row>
    <row r="5" spans="1:25" x14ac:dyDescent="0.25">
      <c r="A5" t="s">
        <v>1710</v>
      </c>
      <c r="B5" s="3">
        <f ca="1">TODAY()-20</f>
        <v>45454</v>
      </c>
      <c r="C5">
        <v>1</v>
      </c>
      <c r="D5" t="s">
        <v>1703</v>
      </c>
      <c r="F5">
        <v>20</v>
      </c>
      <c r="G5">
        <v>228</v>
      </c>
      <c r="H5" t="s">
        <v>1681</v>
      </c>
      <c r="N5" s="11"/>
      <c r="T5" s="12"/>
      <c r="X5" s="6"/>
      <c r="Y5" s="6"/>
    </row>
    <row r="6" spans="1:25" x14ac:dyDescent="0.25">
      <c r="A6" t="s">
        <v>1704</v>
      </c>
      <c r="B6" s="3">
        <f ca="1">TODAY()-20</f>
        <v>45454</v>
      </c>
      <c r="C6">
        <v>1</v>
      </c>
      <c r="D6" t="s">
        <v>1703</v>
      </c>
      <c r="F6">
        <v>34</v>
      </c>
      <c r="G6">
        <v>183</v>
      </c>
      <c r="H6" t="s">
        <v>1681</v>
      </c>
      <c r="N6" s="11"/>
      <c r="T6" s="12"/>
      <c r="X6" s="6"/>
      <c r="Y6" s="6"/>
    </row>
    <row r="7" spans="1:25" x14ac:dyDescent="0.25">
      <c r="A7" t="s">
        <v>1711</v>
      </c>
      <c r="B7" s="3">
        <f ca="1">TODAY()-20</f>
        <v>45454</v>
      </c>
      <c r="C7">
        <v>1</v>
      </c>
      <c r="D7" t="s">
        <v>1703</v>
      </c>
      <c r="F7">
        <v>46</v>
      </c>
      <c r="G7">
        <v>128</v>
      </c>
      <c r="H7" t="s">
        <v>1681</v>
      </c>
      <c r="N7" s="11"/>
      <c r="T7" s="12"/>
      <c r="X7" s="6"/>
      <c r="Y7" s="6"/>
    </row>
    <row r="8" spans="1:25" x14ac:dyDescent="0.25">
      <c r="A8" t="s">
        <v>1712</v>
      </c>
      <c r="B8" s="3">
        <f ca="1">TODAY()-21</f>
        <v>45453</v>
      </c>
      <c r="C8">
        <v>1</v>
      </c>
      <c r="D8" t="s">
        <v>1703</v>
      </c>
      <c r="F8">
        <v>58</v>
      </c>
      <c r="G8">
        <v>86</v>
      </c>
      <c r="H8" t="s">
        <v>1681</v>
      </c>
      <c r="N8" s="11"/>
      <c r="T8" s="12"/>
      <c r="X8" s="6"/>
      <c r="Y8" s="6"/>
    </row>
    <row r="9" spans="1:25" x14ac:dyDescent="0.25">
      <c r="A9" t="s">
        <v>1713</v>
      </c>
      <c r="B9" s="3">
        <f ca="1">TODAY()-21</f>
        <v>45453</v>
      </c>
      <c r="C9">
        <v>1</v>
      </c>
      <c r="D9" t="s">
        <v>1703</v>
      </c>
      <c r="F9">
        <v>72</v>
      </c>
      <c r="G9">
        <v>54</v>
      </c>
      <c r="H9" t="s">
        <v>1681</v>
      </c>
      <c r="N9" s="11"/>
      <c r="T9" s="12"/>
      <c r="X9" s="6"/>
      <c r="Y9" s="6"/>
    </row>
    <row r="10" spans="1:25" x14ac:dyDescent="0.25">
      <c r="A10" t="s">
        <v>1714</v>
      </c>
      <c r="B10" s="3">
        <f ca="1">TODAY()-20</f>
        <v>45454</v>
      </c>
      <c r="C10">
        <v>1</v>
      </c>
      <c r="D10" t="s">
        <v>1703</v>
      </c>
      <c r="F10">
        <v>90</v>
      </c>
      <c r="G10">
        <v>5</v>
      </c>
      <c r="H10" t="s">
        <v>1681</v>
      </c>
      <c r="N10" s="11"/>
      <c r="T10" s="12"/>
      <c r="X10" s="6"/>
      <c r="Y10" s="6"/>
    </row>
    <row r="11" spans="1:25" x14ac:dyDescent="0.25">
      <c r="T11" s="12"/>
      <c r="X11" s="6"/>
    </row>
    <row r="12" spans="1:25" x14ac:dyDescent="0.25">
      <c r="T12" s="12"/>
      <c r="X12" s="6"/>
      <c r="Y12" s="6"/>
    </row>
    <row r="13" spans="1:25" x14ac:dyDescent="0.25">
      <c r="T13" s="12"/>
      <c r="X13" s="6"/>
      <c r="Y13" s="6"/>
    </row>
    <row r="14" spans="1:25" x14ac:dyDescent="0.25">
      <c r="T14" s="12"/>
      <c r="X14" s="6"/>
      <c r="Y14" s="6"/>
    </row>
    <row r="15" spans="1:25" x14ac:dyDescent="0.25">
      <c r="T15" s="12"/>
      <c r="X15" s="6"/>
      <c r="Y15" s="6"/>
    </row>
    <row r="16" spans="1:25" x14ac:dyDescent="0.25">
      <c r="T16" s="12"/>
      <c r="X16" s="6"/>
      <c r="Y16" s="6"/>
    </row>
  </sheetData>
  <pageMargins left="0.7" right="0.7" top="0.75" bottom="0.75" header="0.3" footer="0.3"/>
  <pageSetup paperSize="9" orientation="portrait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21"/>
  <sheetViews>
    <sheetView workbookViewId="0">
      <selection activeCell="A22" sqref="A22"/>
    </sheetView>
  </sheetViews>
  <sheetFormatPr defaultRowHeight="15" x14ac:dyDescent="0.25"/>
  <cols>
    <col min="1" max="1" width="43.7109375" customWidth="1"/>
    <col min="2" max="2" width="16.85546875" customWidth="1"/>
    <col min="3" max="3" width="28.140625" customWidth="1"/>
    <col min="4" max="4" width="120.7109375" customWidth="1"/>
    <col min="5" max="5" width="15.28515625" bestFit="1" customWidth="1"/>
  </cols>
  <sheetData>
    <row r="1" spans="1:6" x14ac:dyDescent="0.25">
      <c r="A1" t="s">
        <v>917</v>
      </c>
    </row>
    <row r="3" spans="1:6" x14ac:dyDescent="0.25">
      <c r="A3" t="s">
        <v>0</v>
      </c>
      <c r="B3" t="s">
        <v>934</v>
      </c>
      <c r="C3" t="s">
        <v>935</v>
      </c>
      <c r="D3" t="s">
        <v>936</v>
      </c>
      <c r="E3" t="s">
        <v>937</v>
      </c>
      <c r="F3" t="s">
        <v>938</v>
      </c>
    </row>
    <row r="4" spans="1:6" x14ac:dyDescent="0.25">
      <c r="A4" t="s">
        <v>918</v>
      </c>
      <c r="B4" t="s">
        <v>939</v>
      </c>
      <c r="C4" s="9" t="s">
        <v>940</v>
      </c>
      <c r="D4" s="9" t="s">
        <v>956</v>
      </c>
      <c r="E4" s="8">
        <v>0</v>
      </c>
      <c r="F4">
        <v>7</v>
      </c>
    </row>
    <row r="5" spans="1:6" x14ac:dyDescent="0.25">
      <c r="A5" t="s">
        <v>919</v>
      </c>
      <c r="B5" t="s">
        <v>939</v>
      </c>
      <c r="C5" s="9" t="s">
        <v>941</v>
      </c>
      <c r="D5" s="9" t="s">
        <v>957</v>
      </c>
      <c r="E5" s="8">
        <v>0</v>
      </c>
      <c r="F5">
        <v>7</v>
      </c>
    </row>
    <row r="6" spans="1:6" x14ac:dyDescent="0.25">
      <c r="A6" t="s">
        <v>920</v>
      </c>
      <c r="B6" t="s">
        <v>939</v>
      </c>
      <c r="C6" s="9" t="s">
        <v>942</v>
      </c>
      <c r="D6" s="9" t="s">
        <v>958</v>
      </c>
      <c r="E6" s="8">
        <v>0</v>
      </c>
      <c r="F6">
        <v>7</v>
      </c>
    </row>
    <row r="7" spans="1:6" x14ac:dyDescent="0.25">
      <c r="A7" t="s">
        <v>921</v>
      </c>
      <c r="B7" t="s">
        <v>939</v>
      </c>
      <c r="C7" s="9" t="s">
        <v>943</v>
      </c>
      <c r="D7" s="9" t="s">
        <v>959</v>
      </c>
      <c r="E7" s="8">
        <v>0</v>
      </c>
      <c r="F7">
        <v>7</v>
      </c>
    </row>
    <row r="8" spans="1:6" x14ac:dyDescent="0.25">
      <c r="A8" t="s">
        <v>922</v>
      </c>
      <c r="B8" t="s">
        <v>939</v>
      </c>
      <c r="C8" s="9" t="s">
        <v>944</v>
      </c>
      <c r="D8" s="9" t="s">
        <v>960</v>
      </c>
      <c r="E8" s="8">
        <v>0</v>
      </c>
      <c r="F8">
        <v>7</v>
      </c>
    </row>
    <row r="9" spans="1:6" x14ac:dyDescent="0.25">
      <c r="A9" t="s">
        <v>923</v>
      </c>
      <c r="B9" t="s">
        <v>939</v>
      </c>
      <c r="C9" s="9" t="s">
        <v>945</v>
      </c>
      <c r="D9" s="9" t="s">
        <v>961</v>
      </c>
      <c r="E9" s="8">
        <v>0</v>
      </c>
      <c r="F9">
        <v>7</v>
      </c>
    </row>
    <row r="10" spans="1:6" x14ac:dyDescent="0.25">
      <c r="A10" t="s">
        <v>924</v>
      </c>
      <c r="B10" t="s">
        <v>939</v>
      </c>
      <c r="C10" s="9" t="s">
        <v>946</v>
      </c>
      <c r="D10" s="9" t="s">
        <v>962</v>
      </c>
      <c r="E10" s="8">
        <v>0</v>
      </c>
      <c r="F10">
        <v>7</v>
      </c>
    </row>
    <row r="11" spans="1:6" x14ac:dyDescent="0.25">
      <c r="A11" t="s">
        <v>925</v>
      </c>
      <c r="B11" t="s">
        <v>939</v>
      </c>
      <c r="C11" s="9" t="s">
        <v>947</v>
      </c>
      <c r="D11" s="9" t="s">
        <v>963</v>
      </c>
      <c r="E11" s="8">
        <v>0</v>
      </c>
      <c r="F11">
        <v>7</v>
      </c>
    </row>
    <row r="12" spans="1:6" x14ac:dyDescent="0.25">
      <c r="A12" t="s">
        <v>926</v>
      </c>
      <c r="B12" t="s">
        <v>939</v>
      </c>
      <c r="C12" s="9" t="s">
        <v>948</v>
      </c>
      <c r="D12" s="9" t="s">
        <v>964</v>
      </c>
      <c r="E12" s="8">
        <v>0</v>
      </c>
      <c r="F12">
        <v>7</v>
      </c>
    </row>
    <row r="13" spans="1:6" x14ac:dyDescent="0.25">
      <c r="A13" t="s">
        <v>927</v>
      </c>
      <c r="B13" t="s">
        <v>939</v>
      </c>
      <c r="C13" s="9" t="s">
        <v>949</v>
      </c>
      <c r="D13" s="9" t="s">
        <v>965</v>
      </c>
      <c r="E13" s="8">
        <v>0</v>
      </c>
      <c r="F13">
        <v>7</v>
      </c>
    </row>
    <row r="14" spans="1:6" x14ac:dyDescent="0.25">
      <c r="A14" t="s">
        <v>928</v>
      </c>
      <c r="B14" t="s">
        <v>939</v>
      </c>
      <c r="C14" s="9" t="s">
        <v>950</v>
      </c>
      <c r="D14" s="9" t="s">
        <v>966</v>
      </c>
      <c r="E14" s="8">
        <v>0</v>
      </c>
      <c r="F14">
        <v>7</v>
      </c>
    </row>
    <row r="15" spans="1:6" ht="30" x14ac:dyDescent="0.25">
      <c r="A15" t="s">
        <v>929</v>
      </c>
      <c r="B15" t="s">
        <v>939</v>
      </c>
      <c r="C15" s="9" t="s">
        <v>951</v>
      </c>
      <c r="D15" s="9" t="s">
        <v>967</v>
      </c>
      <c r="E15" s="8">
        <v>0</v>
      </c>
      <c r="F15">
        <v>7</v>
      </c>
    </row>
    <row r="16" spans="1:6" x14ac:dyDescent="0.25">
      <c r="A16" t="s">
        <v>930</v>
      </c>
      <c r="B16" t="s">
        <v>939</v>
      </c>
      <c r="C16" s="9" t="s">
        <v>952</v>
      </c>
      <c r="D16" s="9" t="s">
        <v>968</v>
      </c>
      <c r="E16" s="8">
        <v>0</v>
      </c>
      <c r="F16">
        <v>7</v>
      </c>
    </row>
    <row r="17" spans="1:6" x14ac:dyDescent="0.25">
      <c r="A17" t="s">
        <v>931</v>
      </c>
      <c r="B17" t="s">
        <v>939</v>
      </c>
      <c r="C17" s="9" t="s">
        <v>953</v>
      </c>
      <c r="D17" s="9" t="s">
        <v>969</v>
      </c>
      <c r="E17" s="8">
        <v>0</v>
      </c>
      <c r="F17">
        <v>7</v>
      </c>
    </row>
    <row r="18" spans="1:6" x14ac:dyDescent="0.25">
      <c r="A18" t="s">
        <v>932</v>
      </c>
      <c r="B18" t="s">
        <v>939</v>
      </c>
      <c r="C18" s="9" t="s">
        <v>954</v>
      </c>
      <c r="D18" s="9" t="s">
        <v>970</v>
      </c>
      <c r="E18" s="8">
        <v>0</v>
      </c>
      <c r="F18">
        <v>7</v>
      </c>
    </row>
    <row r="19" spans="1:6" x14ac:dyDescent="0.25">
      <c r="A19" t="s">
        <v>933</v>
      </c>
      <c r="B19" t="s">
        <v>939</v>
      </c>
      <c r="C19" s="9" t="s">
        <v>972</v>
      </c>
      <c r="D19" s="9" t="s">
        <v>1</v>
      </c>
      <c r="E19" s="8">
        <v>0</v>
      </c>
      <c r="F19">
        <v>7</v>
      </c>
    </row>
    <row r="20" spans="1:6" x14ac:dyDescent="0.25">
      <c r="A20" t="s">
        <v>955</v>
      </c>
      <c r="B20" t="s">
        <v>939</v>
      </c>
      <c r="C20" s="9" t="s">
        <v>973</v>
      </c>
      <c r="D20" s="9" t="s">
        <v>975</v>
      </c>
      <c r="E20" s="8">
        <v>0</v>
      </c>
      <c r="F20">
        <v>7</v>
      </c>
    </row>
    <row r="21" spans="1:6" x14ac:dyDescent="0.25">
      <c r="A21" t="s">
        <v>971</v>
      </c>
      <c r="B21" t="s">
        <v>939</v>
      </c>
      <c r="C21" s="9" t="s">
        <v>974</v>
      </c>
      <c r="D21" s="9" t="s">
        <v>976</v>
      </c>
      <c r="E21" s="8">
        <v>0</v>
      </c>
      <c r="F21">
        <v>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item1.xml>
</file>

<file path=customXml/item2.xml>
</file>

<file path=customXml/item3.xml>
</file>

<file path=customXml/item4.xml>
</file>

<file path=customXml/item5.xml>
</file>

<file path=customXml/item6.xml>
</file>

<file path=customXml/item7.xml>
</file>

<file path=customXml/item8.xml>
</file>

<file path=customXml/item9.xml>
</file>

<file path=customXml/item10.xml>
</file>

<file path=customXml/item11.xml>
</file>

<file path=customXml/item12.xml>
</file>

<file path=customXml/item13.xml>
</file>

<file path=customXml/item14.xml>
</file>

<file path=customXml/itemProps1.xml><?xml version="1.0" encoding="utf-8"?>
<ds:datastoreItem xmlns:ds="http://schemas.openxmlformats.org/officeDocument/2006/customXml" ds:itemID="{24B4C81C-AE83-4E0D-A798-B3CD33427B24}"/>
</file>

<file path=customXml/itemProps2.xml><?xml version="1.0" encoding="utf-8"?>
<ds:datastoreItem xmlns:ds="http://schemas.openxmlformats.org/officeDocument/2006/customXml" ds:itemID="{33E100BE-8456-4A2A-9C74-A6F7CADB6B5B}"/>
</file>

<file path=customXml/itemProps3.xml><?xml version="1.0" encoding="utf-8"?>
<ds:datastoreItem xmlns:ds="http://schemas.openxmlformats.org/officeDocument/2006/customXml" ds:itemID="{F6E7822A-08B9-406D-AC4C-FEDC5FF62769}"/>
</file>

<file path=customXml/itemProps4.xml><?xml version="1.0" encoding="utf-8"?>
<ds:datastoreItem xmlns:ds="http://schemas.openxmlformats.org/officeDocument/2006/customXml" ds:itemID="{36502DC8-3F23-454E-9145-04612ADD3DB6}"/>
</file>

<file path=customXml/itemProps5.xml><?xml version="1.0" encoding="utf-8"?>
<ds:datastoreItem xmlns:ds="http://schemas.openxmlformats.org/officeDocument/2006/customXml" ds:itemID="{80023E1C-6FE3-494D-8B3F-F668B3093493}"/>
</file>

<file path=customXml/itemProps6.xml><?xml version="1.0" encoding="utf-8"?>
<ds:datastoreItem xmlns:ds="http://schemas.openxmlformats.org/officeDocument/2006/customXml" ds:itemID="{699B0F00-6381-4D0D-8A6F-4BA3328E5EA2}"/>
</file>

<file path=customXml/itemProps7.xml><?xml version="1.0" encoding="utf-8"?>
<ds:datastoreItem xmlns:ds="http://schemas.openxmlformats.org/officeDocument/2006/customXml" ds:itemID="{11EE3E11-8702-46F9-A6D8-21ACB19B55AF}"/>
</file>

<file path=customXml/itemProps8.xml><?xml version="1.0" encoding="utf-8"?>
<ds:datastoreItem xmlns:ds="http://schemas.openxmlformats.org/officeDocument/2006/customXml" ds:itemID="{71F96AC7-8A98-4066-BD44-A5683E92215C}"/>
</file>

<file path=customXml/itemProps9.xml><?xml version="1.0" encoding="utf-8"?>
<ds:datastoreItem xmlns:ds="http://schemas.openxmlformats.org/officeDocument/2006/customXml" ds:itemID="{A3F7BB4F-35F6-4CC7-94B9-9A5200EF81A5}"/>
</file>

<file path=customXml/itemProps10.xml><?xml version="1.0" encoding="utf-8"?>
<ds:datastoreItem xmlns:ds="http://schemas.openxmlformats.org/officeDocument/2006/customXml" ds:itemID="{28424A73-492B-4614-B84B-8DD67EC59D8B}"/>
</file>

<file path=customXml/itemProps11.xml><?xml version="1.0" encoding="utf-8"?>
<ds:datastoreItem xmlns:ds="http://schemas.openxmlformats.org/officeDocument/2006/customXml" ds:itemID="{02F4CEE2-B2D0-41C6-963E-DABE6ACED9EC}"/>
</file>

<file path=customXml/itemProps12.xml><?xml version="1.0" encoding="utf-8"?>
<ds:datastoreItem xmlns:ds="http://schemas.openxmlformats.org/officeDocument/2006/customXml" ds:itemID="{DCDBE08B-501C-4536-A1F6-86F46783BDD6}"/>
</file>

<file path=customXml/itemProps13.xml><?xml version="1.0" encoding="utf-8"?>
<ds:datastoreItem xmlns:ds="http://schemas.openxmlformats.org/officeDocument/2006/customXml" ds:itemID="{6D5DB31D-4059-4E14-9080-B5BADA10E972}"/>
</file>

<file path=customXml/itemProps14.xml><?xml version="1.0" encoding="utf-8"?>
<ds:datastoreItem xmlns:ds="http://schemas.openxmlformats.org/officeDocument/2006/customXml" ds:itemID="{87B577A7-019A-4B67-B110-A9AA73BE4194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88</vt:i4>
      </vt:variant>
    </vt:vector>
  </HeadingPairs>
  <TitlesOfParts>
    <vt:vector size="88" baseType="lpstr">
      <vt:lpstr>Notes</vt:lpstr>
      <vt:lpstr>90-Settings</vt:lpstr>
      <vt:lpstr>99-TMoreOrLessQuestions</vt:lpstr>
      <vt:lpstr>101-FzTyp</vt:lpstr>
      <vt:lpstr>102-Fz</vt:lpstr>
      <vt:lpstr>103-JFzFzTyp</vt:lpstr>
      <vt:lpstr>105-TKennzeichen</vt:lpstr>
      <vt:lpstr>106-JFzKennzeichen</vt:lpstr>
      <vt:lpstr>112-TPlzOrt</vt:lpstr>
      <vt:lpstr>113-TAdresse</vt:lpstr>
      <vt:lpstr>114-TKunde</vt:lpstr>
      <vt:lpstr>115-TKontaktInfo</vt:lpstr>
      <vt:lpstr>116-JKundeKontaktInfo</vt:lpstr>
      <vt:lpstr>117-TBetreiberfirma</vt:lpstr>
      <vt:lpstr>118-JKundeFirma</vt:lpstr>
      <vt:lpstr>120-TAutonomieInsel</vt:lpstr>
      <vt:lpstr>121-TBaustelle</vt:lpstr>
      <vt:lpstr>123-TWerk</vt:lpstr>
      <vt:lpstr>124-TAnlage</vt:lpstr>
      <vt:lpstr>126-JAnlageBetreiberfirma</vt:lpstr>
      <vt:lpstr>127-JAnlageAnlageTeil</vt:lpstr>
      <vt:lpstr>128-JAutonomieInselBetrieberfir</vt:lpstr>
      <vt:lpstr>131-JKundeBaustelle</vt:lpstr>
      <vt:lpstr>132-JKundeBaustelleKontaktinfo</vt:lpstr>
      <vt:lpstr>140-TArtikel</vt:lpstr>
      <vt:lpstr>141-JArtikelTree</vt:lpstr>
      <vt:lpstr>142-TMaterialtypTransport</vt:lpstr>
      <vt:lpstr>143-TProdukt</vt:lpstr>
      <vt:lpstr>145-TBarpreis</vt:lpstr>
      <vt:lpstr>150-TWaage</vt:lpstr>
      <vt:lpstr>151-JAnlageWaage</vt:lpstr>
      <vt:lpstr>160-TNummerkreis</vt:lpstr>
      <vt:lpstr>170-TSpeicher</vt:lpstr>
      <vt:lpstr>171-TZugabegruppe</vt:lpstr>
      <vt:lpstr>173-JZugabegruppeSpeicher</vt:lpstr>
      <vt:lpstr>174-SiloBalanceProjParam</vt:lpstr>
      <vt:lpstr>190-TPlanungsstelle</vt:lpstr>
      <vt:lpstr>191-JFahrzeugPlanungsstelle</vt:lpstr>
      <vt:lpstr>300-TKomponente</vt:lpstr>
      <vt:lpstr>301-JKomponenteKomponententyp</vt:lpstr>
      <vt:lpstr>350-TRezept</vt:lpstr>
      <vt:lpstr>351-TTeilrezept</vt:lpstr>
      <vt:lpstr>352-JRezeptTeilrezept</vt:lpstr>
      <vt:lpstr>353-TRezeptKategorie</vt:lpstr>
      <vt:lpstr>354-TTeilRezeptRezeptKategorie</vt:lpstr>
      <vt:lpstr>355-JAnlageTeilrezept</vt:lpstr>
      <vt:lpstr>356-TTeilrezeptPhase</vt:lpstr>
      <vt:lpstr>357-TAsphaltTeilrezept</vt:lpstr>
      <vt:lpstr>358-JAsphaltTeilrezeptKomponent</vt:lpstr>
      <vt:lpstr>360-TAuftrag</vt:lpstr>
      <vt:lpstr>361-JAuftragArtikel</vt:lpstr>
      <vt:lpstr>362-JBestellDaten</vt:lpstr>
      <vt:lpstr>365-JTransportIntervall</vt:lpstr>
      <vt:lpstr>367-TAsphaltTeilrezeptKopie</vt:lpstr>
      <vt:lpstr>390-TDimAnlageAnlageTeil</vt:lpstr>
      <vt:lpstr>391-TDimRezept</vt:lpstr>
      <vt:lpstr>392-TDimDate</vt:lpstr>
      <vt:lpstr>393-TDimTime</vt:lpstr>
      <vt:lpstr>394-TFactProductionDetail</vt:lpstr>
      <vt:lpstr>400-Obp-Params</vt:lpstr>
      <vt:lpstr>401-TBehaelterTyp</vt:lpstr>
      <vt:lpstr>402-JTransportkapazitaet</vt:lpstr>
      <vt:lpstr>403-JBehaeltertypFztyp</vt:lpstr>
      <vt:lpstr>500-TEventCounter</vt:lpstr>
      <vt:lpstr>600-TRuestlos</vt:lpstr>
      <vt:lpstr>601-JBeteiligteFz</vt:lpstr>
      <vt:lpstr>602-JLieferschein</vt:lpstr>
      <vt:lpstr>630-TWartungsTeil</vt:lpstr>
      <vt:lpstr>631-JWartungsTeilTree</vt:lpstr>
      <vt:lpstr>632-TZeitplanRegel</vt:lpstr>
      <vt:lpstr>633-TWartungsTask</vt:lpstr>
      <vt:lpstr>634-NotifyMss</vt:lpstr>
      <vt:lpstr>635-TWartungsHandlung</vt:lpstr>
      <vt:lpstr>640-TlEventObserver</vt:lpstr>
      <vt:lpstr>641-TlEventObserverSync</vt:lpstr>
      <vt:lpstr>642-JWartungsEventListe</vt:lpstr>
      <vt:lpstr>645-TWartungsArtikel</vt:lpstr>
      <vt:lpstr>646-TWartungstaskWartungsArtike</vt:lpstr>
      <vt:lpstr>647-TDataLog</vt:lpstr>
      <vt:lpstr>648-ClearTDataSample</vt:lpstr>
      <vt:lpstr>649-TDataSample</vt:lpstr>
      <vt:lpstr>650-TWartungsTaskDemo</vt:lpstr>
      <vt:lpstr>651-TWartungstaskWartungsDemo</vt:lpstr>
      <vt:lpstr>700-TConcreteConsistencyNorm</vt:lpstr>
      <vt:lpstr>701-TConcreteConsistencyCalib</vt:lpstr>
      <vt:lpstr>702-TConcreteConsistencyClass</vt:lpstr>
      <vt:lpstr>703-TConcreteConsistencyCalPt</vt:lpstr>
      <vt:lpstr>LocTextForSPA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pzeknm</dc:creator>
  <cp:lastModifiedBy>*</cp:lastModifiedBy>
  <dcterms:created xsi:type="dcterms:W3CDTF">2010-06-04T11:06:51Z</dcterms:created>
  <dcterms:modified xsi:type="dcterms:W3CDTF">2024-07-01T10:59:50Z</dcterms:modified>
</cp:coreProperties>
</file>